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borda.rodrigo\Downloads\"/>
    </mc:Choice>
  </mc:AlternateContent>
  <xr:revisionPtr revIDLastSave="0" documentId="13_ncr:1_{4733FD1A-1039-4C33-9DDA-D2BE9EBD8B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dastro" sheetId="1" r:id="rId1"/>
    <sheet name="Indicadores" sheetId="5" r:id="rId2"/>
    <sheet name="Evolução Mensal" sheetId="2" r:id="rId3"/>
    <sheet name="Movimentações" sheetId="3" r:id="rId4"/>
    <sheet name="Dashboard" sheetId="4" r:id="rId5"/>
  </sheets>
  <definedNames>
    <definedName name="_xlnm._FilterDatabase" localSheetId="0" hidden="1">Cadastro!$A$1:$M$38</definedName>
    <definedName name="_xlnm._FilterDatabase" localSheetId="2" hidden="1">'Evolução Mensal'!$A$1:$L$1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9" i="1" l="1"/>
  <c r="M31" i="1"/>
  <c r="M32" i="1"/>
  <c r="M33" i="1"/>
  <c r="M34" i="1"/>
  <c r="M35" i="1"/>
  <c r="B70" i="2"/>
  <c r="B69" i="2"/>
  <c r="B68" i="2"/>
  <c r="B63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4" i="2"/>
  <c r="B65" i="2"/>
  <c r="B66" i="2"/>
  <c r="B67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3" i="2"/>
  <c r="B4" i="2"/>
  <c r="B5" i="2"/>
  <c r="B2" i="2"/>
</calcChain>
</file>

<file path=xl/sharedStrings.xml><?xml version="1.0" encoding="utf-8"?>
<sst xmlns="http://schemas.openxmlformats.org/spreadsheetml/2006/main" count="634" uniqueCount="175">
  <si>
    <t>D</t>
  </si>
  <si>
    <t>Código</t>
  </si>
  <si>
    <t>Instituição</t>
  </si>
  <si>
    <t>Classe</t>
  </si>
  <si>
    <t>Subclasse</t>
  </si>
  <si>
    <t>Ativo</t>
  </si>
  <si>
    <t>Ticker</t>
  </si>
  <si>
    <t>Valor Aplicado Inicial</t>
  </si>
  <si>
    <t>Data Entrada</t>
  </si>
  <si>
    <t>Moeda</t>
  </si>
  <si>
    <t>Ativo Ativo</t>
  </si>
  <si>
    <t>Observação</t>
  </si>
  <si>
    <t>MP-CONTA</t>
  </si>
  <si>
    <t>Mercado Pago</t>
  </si>
  <si>
    <t>Caixa</t>
  </si>
  <si>
    <t>Conta Remunerada</t>
  </si>
  <si>
    <t>Conta Mercado Pago</t>
  </si>
  <si>
    <t>MP</t>
  </si>
  <si>
    <t>BRL</t>
  </si>
  <si>
    <t>Sim</t>
  </si>
  <si>
    <t>Carro</t>
  </si>
  <si>
    <t>CLR-VALE3</t>
  </si>
  <si>
    <t>Clear</t>
  </si>
  <si>
    <t>Renda Variável</t>
  </si>
  <si>
    <t>Ações</t>
  </si>
  <si>
    <t>Vale</t>
  </si>
  <si>
    <t>VALE3</t>
  </si>
  <si>
    <t>Poupança</t>
  </si>
  <si>
    <t>CLR-CSMG3</t>
  </si>
  <si>
    <t>Copasa</t>
  </si>
  <si>
    <t>CSMG3</t>
  </si>
  <si>
    <t>CLR-POMO4</t>
  </si>
  <si>
    <t>Marcopolo PN</t>
  </si>
  <si>
    <t>POMO4</t>
  </si>
  <si>
    <t>CLR-ORVR3</t>
  </si>
  <si>
    <t>Orizon</t>
  </si>
  <si>
    <t>ORVR3</t>
  </si>
  <si>
    <t>CLR-GOLD11</t>
  </si>
  <si>
    <t>ETF</t>
  </si>
  <si>
    <t>Commodities</t>
  </si>
  <si>
    <t>Trend Ouro</t>
  </si>
  <si>
    <t>GOLD11</t>
  </si>
  <si>
    <t>XP-CDB0427</t>
  </si>
  <si>
    <t>XP</t>
  </si>
  <si>
    <t>Renda Fixa</t>
  </si>
  <si>
    <t>CDB</t>
  </si>
  <si>
    <t xml:space="preserve"> BANCO BBC - GRUPO SIMPAR - ABR/2027</t>
  </si>
  <si>
    <t>CDB0427</t>
  </si>
  <si>
    <t>XP-DEB2034</t>
  </si>
  <si>
    <t>Debênture</t>
  </si>
  <si>
    <t>Petrobras 2034</t>
  </si>
  <si>
    <t>PETR2034</t>
  </si>
  <si>
    <t>XP-IPCA2032</t>
  </si>
  <si>
    <t>Tesouro Direto</t>
  </si>
  <si>
    <t>IPCA+ JS</t>
  </si>
  <si>
    <t>Tesouro IPCA+ 2032 JS</t>
  </si>
  <si>
    <t>NTNB2032</t>
  </si>
  <si>
    <t>XP-IPCA2035</t>
  </si>
  <si>
    <t>IPCA+</t>
  </si>
  <si>
    <t>Tesouro IPCA+ 2035</t>
  </si>
  <si>
    <t>NTNB2035</t>
  </si>
  <si>
    <t>XP-IPCA2026</t>
  </si>
  <si>
    <t>Tesouro IPCA+ 2026</t>
  </si>
  <si>
    <t>NTNB2026</t>
  </si>
  <si>
    <t>XP-VGHF11</t>
  </si>
  <si>
    <t>FII</t>
  </si>
  <si>
    <t>Valora Hedge Fund</t>
  </si>
  <si>
    <t>VGHF11</t>
  </si>
  <si>
    <t>XP-RBRY11</t>
  </si>
  <si>
    <t>RBR High Yield</t>
  </si>
  <si>
    <t>RBRY11</t>
  </si>
  <si>
    <t>XP-MFII11</t>
  </si>
  <si>
    <t>Mérito Desenvolvimento</t>
  </si>
  <si>
    <t>MFII11</t>
  </si>
  <si>
    <t>BIN-BTC</t>
  </si>
  <si>
    <t>Binance</t>
  </si>
  <si>
    <t>Cripto</t>
  </si>
  <si>
    <t>Criptomoeda</t>
  </si>
  <si>
    <t>Bitcoin</t>
  </si>
  <si>
    <t>BTC</t>
  </si>
  <si>
    <t>BIN-SUI</t>
  </si>
  <si>
    <t>Sui</t>
  </si>
  <si>
    <t>SUI</t>
  </si>
  <si>
    <t>BIN-AVAX</t>
  </si>
  <si>
    <t>Avalanche</t>
  </si>
  <si>
    <t>AVAX</t>
  </si>
  <si>
    <t>BIN-ETH</t>
  </si>
  <si>
    <t>Ethereum</t>
  </si>
  <si>
    <t>ETH</t>
  </si>
  <si>
    <t>BIN-SOL</t>
  </si>
  <si>
    <t>Solana</t>
  </si>
  <si>
    <t>SOL</t>
  </si>
  <si>
    <t>AVE-DIS</t>
  </si>
  <si>
    <t>Avenue</t>
  </si>
  <si>
    <t>Exterior</t>
  </si>
  <si>
    <t>Ações EUA</t>
  </si>
  <si>
    <t>Disney</t>
  </si>
  <si>
    <t>DIS</t>
  </si>
  <si>
    <t>USD</t>
  </si>
  <si>
    <t>AVE-GOOGL</t>
  </si>
  <si>
    <t>Alphabet</t>
  </si>
  <si>
    <t>GOOGL</t>
  </si>
  <si>
    <t>AVE-MSFT</t>
  </si>
  <si>
    <t>Microsoft</t>
  </si>
  <si>
    <t>MSFT</t>
  </si>
  <si>
    <t>AVE-SHOP</t>
  </si>
  <si>
    <t>Shopify</t>
  </si>
  <si>
    <t>SHOP</t>
  </si>
  <si>
    <t>AVE-BLOK</t>
  </si>
  <si>
    <t>ETF EUA</t>
  </si>
  <si>
    <t>Amplify BLOK</t>
  </si>
  <si>
    <t>BLOK</t>
  </si>
  <si>
    <t>AVE-IWM</t>
  </si>
  <si>
    <t>iShares Russell 2000</t>
  </si>
  <si>
    <t>IWM</t>
  </si>
  <si>
    <t>WISE-USD</t>
  </si>
  <si>
    <t>Wise</t>
  </si>
  <si>
    <t>Saldo em Conta</t>
  </si>
  <si>
    <t>Dólar Americano</t>
  </si>
  <si>
    <t>WISE-GBP</t>
  </si>
  <si>
    <t>Libra Esterlina</t>
  </si>
  <si>
    <t>GBP</t>
  </si>
  <si>
    <t>C6-CDB</t>
  </si>
  <si>
    <t>C6</t>
  </si>
  <si>
    <t>CDB C6 Pós-Fixado Liq. Diária</t>
  </si>
  <si>
    <t>CDBC6</t>
  </si>
  <si>
    <t>300K</t>
  </si>
  <si>
    <t>C6-CDI</t>
  </si>
  <si>
    <t>CDI</t>
  </si>
  <si>
    <t>CDI C6 Renda Fixa</t>
  </si>
  <si>
    <t>CDIC6</t>
  </si>
  <si>
    <t>300k</t>
  </si>
  <si>
    <t>AVE-VOO</t>
  </si>
  <si>
    <t>VOO Vanguard S&amp;P 500</t>
  </si>
  <si>
    <t>VOO</t>
  </si>
  <si>
    <t>XP-CDBVW</t>
  </si>
  <si>
    <t>Banco VolksWagen - Ago 2027 102%CDI</t>
  </si>
  <si>
    <t>XP-CDBCW</t>
  </si>
  <si>
    <t>CDB CloudWalk Infinitepay 104%CDI</t>
  </si>
  <si>
    <t xml:space="preserve">XP </t>
  </si>
  <si>
    <t>Data</t>
  </si>
  <si>
    <t>CDI (%) a.a.</t>
  </si>
  <si>
    <t>Selic (%) a.a.</t>
  </si>
  <si>
    <t>IPCA (%)</t>
  </si>
  <si>
    <t>Competência</t>
  </si>
  <si>
    <t>Saldo Atual</t>
  </si>
  <si>
    <t>Aporte</t>
  </si>
  <si>
    <t>Resgate</t>
  </si>
  <si>
    <t>Dividendos/Juros</t>
  </si>
  <si>
    <t>Google</t>
  </si>
  <si>
    <t>Blok</t>
  </si>
  <si>
    <t>transferido para Roberta</t>
  </si>
  <si>
    <t>Copasa ON</t>
  </si>
  <si>
    <t>Marcopolo SA</t>
  </si>
  <si>
    <t>Orizon Valorizacao de Residuos SA</t>
  </si>
  <si>
    <t>Fundo</t>
  </si>
  <si>
    <t>Trend ETF LBMA Gold Fundo de Índice</t>
  </si>
  <si>
    <t>CDB BANCO BBC</t>
  </si>
  <si>
    <t>DEB PETROBRAS - SET/2034</t>
  </si>
  <si>
    <t>NTN-B ago/2032</t>
  </si>
  <si>
    <t>NTNB PRINC mai/2035</t>
  </si>
  <si>
    <t>NTNB PRINC ago/2026</t>
  </si>
  <si>
    <t>Fundo Imobiliário</t>
  </si>
  <si>
    <t>VALORA HEDGE FUND</t>
  </si>
  <si>
    <t>RBR Crédito Imobiliário Estruturado</t>
  </si>
  <si>
    <t>Mérito Desenvolvimento Imobiliário</t>
  </si>
  <si>
    <t>avax</t>
  </si>
  <si>
    <t>Etherium</t>
  </si>
  <si>
    <t>Dolar</t>
  </si>
  <si>
    <t xml:space="preserve">Libra </t>
  </si>
  <si>
    <t xml:space="preserve">CDI C6 </t>
  </si>
  <si>
    <t>30% 300k</t>
  </si>
  <si>
    <t>40% 300k</t>
  </si>
  <si>
    <t>55% 300k</t>
  </si>
  <si>
    <t>42% 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</si>
</sst>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3" fontId="0" fillId="0" borderId="0" xfId="0" applyNumberFormat="1"/>
    <xf numFmtId="164" fontId="0" fillId="0" borderId="0" xfId="0" applyNumberFormat="1"/>
    <xf numFmtId="14" fontId="2" fillId="0" borderId="0" xfId="0" applyNumberFormat="1" applyFont="1"/>
    <xf numFmtId="164" fontId="1" fillId="0" borderId="0" xfId="0" applyNumberFormat="1" applyFon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R14" sqref="R14"/>
    </sheetView>
  </sheetViews>
  <sheetFormatPr defaultRowHeight="15" x14ac:dyDescent="0.25"/>
  <cols>
    <col min="1" max="1" width="3.28515625" bestFit="1" customWidth="1"/>
    <col min="2" max="2" width="12.42578125" bestFit="1" customWidth="1"/>
    <col min="3" max="3" width="13.85546875" bestFit="1" customWidth="1"/>
    <col min="4" max="4" width="14.28515625" bestFit="1" customWidth="1"/>
    <col min="5" max="5" width="18.28515625" bestFit="1" customWidth="1"/>
    <col min="6" max="6" width="38.7109375" bestFit="1" customWidth="1"/>
    <col min="7" max="7" width="10.42578125" bestFit="1" customWidth="1"/>
    <col min="8" max="8" width="19.5703125" customWidth="1"/>
    <col min="9" max="9" width="12.85546875" bestFit="1" customWidth="1"/>
    <col min="10" max="10" width="7.42578125" bestFit="1" customWidth="1"/>
    <col min="11" max="11" width="11.140625" bestFit="1" customWidth="1"/>
    <col min="12" max="12" width="11.5703125" bestFit="1" customWidth="1"/>
    <col min="14" max="14" width="11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J2" t="s">
        <v>18</v>
      </c>
      <c r="K2" t="s">
        <v>19</v>
      </c>
      <c r="L2" t="s">
        <v>20</v>
      </c>
    </row>
    <row r="3" spans="1:12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</v>
      </c>
      <c r="I3" s="2">
        <v>45778</v>
      </c>
      <c r="J3" t="s">
        <v>18</v>
      </c>
      <c r="K3" t="s">
        <v>19</v>
      </c>
      <c r="L3" t="s">
        <v>27</v>
      </c>
    </row>
    <row r="4" spans="1:12" x14ac:dyDescent="0.25">
      <c r="A4">
        <v>3</v>
      </c>
      <c r="B4" t="s">
        <v>28</v>
      </c>
      <c r="C4" t="s">
        <v>22</v>
      </c>
      <c r="D4" t="s">
        <v>23</v>
      </c>
      <c r="E4" t="s">
        <v>24</v>
      </c>
      <c r="F4" t="s">
        <v>29</v>
      </c>
      <c r="G4" t="s">
        <v>30</v>
      </c>
      <c r="H4">
        <v>3</v>
      </c>
      <c r="I4" s="6">
        <v>45778</v>
      </c>
      <c r="J4" t="s">
        <v>18</v>
      </c>
      <c r="K4" t="s">
        <v>19</v>
      </c>
      <c r="L4" t="s">
        <v>27</v>
      </c>
    </row>
    <row r="5" spans="1:12" x14ac:dyDescent="0.25">
      <c r="A5">
        <v>4</v>
      </c>
      <c r="B5" t="s">
        <v>31</v>
      </c>
      <c r="C5" t="s">
        <v>22</v>
      </c>
      <c r="D5" t="s">
        <v>23</v>
      </c>
      <c r="E5" t="s">
        <v>24</v>
      </c>
      <c r="F5" t="s">
        <v>32</v>
      </c>
      <c r="G5" t="s">
        <v>33</v>
      </c>
      <c r="H5">
        <v>4</v>
      </c>
      <c r="I5" s="6">
        <v>45778</v>
      </c>
      <c r="J5" t="s">
        <v>18</v>
      </c>
      <c r="K5" t="s">
        <v>19</v>
      </c>
      <c r="L5" t="s">
        <v>27</v>
      </c>
    </row>
    <row r="6" spans="1:12" x14ac:dyDescent="0.25">
      <c r="A6">
        <v>5</v>
      </c>
      <c r="B6" t="s">
        <v>34</v>
      </c>
      <c r="C6" t="s">
        <v>22</v>
      </c>
      <c r="D6" t="s">
        <v>23</v>
      </c>
      <c r="E6" t="s">
        <v>24</v>
      </c>
      <c r="F6" t="s">
        <v>35</v>
      </c>
      <c r="G6" t="s">
        <v>36</v>
      </c>
      <c r="H6">
        <v>5</v>
      </c>
      <c r="I6" s="6">
        <v>45778</v>
      </c>
      <c r="J6" t="s">
        <v>18</v>
      </c>
      <c r="K6" t="s">
        <v>19</v>
      </c>
      <c r="L6" t="s">
        <v>27</v>
      </c>
    </row>
    <row r="7" spans="1:12" x14ac:dyDescent="0.25">
      <c r="A7">
        <v>6</v>
      </c>
      <c r="B7" t="s">
        <v>37</v>
      </c>
      <c r="C7" t="s">
        <v>22</v>
      </c>
      <c r="D7" t="s">
        <v>38</v>
      </c>
      <c r="E7" t="s">
        <v>39</v>
      </c>
      <c r="F7" t="s">
        <v>40</v>
      </c>
      <c r="G7" t="s">
        <v>41</v>
      </c>
      <c r="H7">
        <v>6</v>
      </c>
      <c r="I7" s="6">
        <v>45778</v>
      </c>
      <c r="J7" t="s">
        <v>18</v>
      </c>
      <c r="K7" t="s">
        <v>19</v>
      </c>
      <c r="L7" t="s">
        <v>27</v>
      </c>
    </row>
    <row r="8" spans="1:12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7</v>
      </c>
      <c r="I8" s="2">
        <v>46183</v>
      </c>
      <c r="J8" t="s">
        <v>18</v>
      </c>
      <c r="K8" t="s">
        <v>19</v>
      </c>
      <c r="L8" t="s">
        <v>27</v>
      </c>
    </row>
    <row r="9" spans="1:12" x14ac:dyDescent="0.25">
      <c r="A9">
        <v>8</v>
      </c>
      <c r="B9" t="s">
        <v>48</v>
      </c>
      <c r="C9" t="s">
        <v>43</v>
      </c>
      <c r="D9" t="s">
        <v>44</v>
      </c>
      <c r="E9" t="s">
        <v>49</v>
      </c>
      <c r="F9" t="s">
        <v>50</v>
      </c>
      <c r="G9" t="s">
        <v>51</v>
      </c>
      <c r="H9">
        <v>8</v>
      </c>
      <c r="I9" s="2">
        <v>43747</v>
      </c>
      <c r="J9" t="s">
        <v>18</v>
      </c>
      <c r="K9" t="s">
        <v>19</v>
      </c>
      <c r="L9" t="s">
        <v>27</v>
      </c>
    </row>
    <row r="10" spans="1:12" x14ac:dyDescent="0.25">
      <c r="A10">
        <v>9</v>
      </c>
      <c r="B10" t="s">
        <v>52</v>
      </c>
      <c r="C10" t="s">
        <v>43</v>
      </c>
      <c r="D10" t="s">
        <v>53</v>
      </c>
      <c r="E10" t="s">
        <v>54</v>
      </c>
      <c r="F10" t="s">
        <v>55</v>
      </c>
      <c r="G10" t="s">
        <v>56</v>
      </c>
      <c r="H10">
        <v>9</v>
      </c>
      <c r="I10" s="2">
        <v>45153</v>
      </c>
      <c r="J10" t="s">
        <v>18</v>
      </c>
      <c r="K10" t="s">
        <v>19</v>
      </c>
      <c r="L10" t="s">
        <v>27</v>
      </c>
    </row>
    <row r="11" spans="1:12" x14ac:dyDescent="0.25">
      <c r="A11">
        <v>10</v>
      </c>
      <c r="B11" t="s">
        <v>57</v>
      </c>
      <c r="C11" t="s">
        <v>43</v>
      </c>
      <c r="D11" t="s">
        <v>53</v>
      </c>
      <c r="E11" t="s">
        <v>58</v>
      </c>
      <c r="F11" t="s">
        <v>59</v>
      </c>
      <c r="G11" t="s">
        <v>60</v>
      </c>
      <c r="H11">
        <v>10</v>
      </c>
      <c r="I11" s="2">
        <v>44347</v>
      </c>
      <c r="J11" t="s">
        <v>18</v>
      </c>
      <c r="K11" t="s">
        <v>19</v>
      </c>
      <c r="L11" t="s">
        <v>27</v>
      </c>
    </row>
    <row r="12" spans="1:12" x14ac:dyDescent="0.25">
      <c r="A12">
        <v>11</v>
      </c>
      <c r="B12" t="s">
        <v>61</v>
      </c>
      <c r="C12" t="s">
        <v>43</v>
      </c>
      <c r="D12" t="s">
        <v>53</v>
      </c>
      <c r="E12" t="s">
        <v>58</v>
      </c>
      <c r="F12" t="s">
        <v>62</v>
      </c>
      <c r="G12" t="s">
        <v>63</v>
      </c>
      <c r="H12">
        <v>11</v>
      </c>
      <c r="I12" s="2">
        <v>44202</v>
      </c>
      <c r="J12" t="s">
        <v>18</v>
      </c>
      <c r="K12" t="s">
        <v>19</v>
      </c>
      <c r="L12" t="s">
        <v>27</v>
      </c>
    </row>
    <row r="13" spans="1:12" x14ac:dyDescent="0.25">
      <c r="A13">
        <v>12</v>
      </c>
      <c r="B13" t="s">
        <v>64</v>
      </c>
      <c r="C13" t="s">
        <v>43</v>
      </c>
      <c r="D13" t="s">
        <v>23</v>
      </c>
      <c r="E13" t="s">
        <v>65</v>
      </c>
      <c r="F13" t="s">
        <v>66</v>
      </c>
      <c r="G13" t="s">
        <v>67</v>
      </c>
      <c r="H13">
        <v>12</v>
      </c>
      <c r="I13" s="6">
        <v>45778</v>
      </c>
      <c r="J13" t="s">
        <v>18</v>
      </c>
      <c r="K13" t="s">
        <v>19</v>
      </c>
      <c r="L13" t="s">
        <v>27</v>
      </c>
    </row>
    <row r="14" spans="1:12" x14ac:dyDescent="0.25">
      <c r="A14">
        <v>13</v>
      </c>
      <c r="B14" t="s">
        <v>68</v>
      </c>
      <c r="C14" t="s">
        <v>43</v>
      </c>
      <c r="D14" t="s">
        <v>23</v>
      </c>
      <c r="E14" t="s">
        <v>65</v>
      </c>
      <c r="F14" t="s">
        <v>69</v>
      </c>
      <c r="G14" t="s">
        <v>70</v>
      </c>
      <c r="H14">
        <v>13</v>
      </c>
      <c r="I14" s="6">
        <v>45778</v>
      </c>
      <c r="J14" t="s">
        <v>18</v>
      </c>
      <c r="K14" t="s">
        <v>19</v>
      </c>
      <c r="L14" t="s">
        <v>27</v>
      </c>
    </row>
    <row r="15" spans="1:12" x14ac:dyDescent="0.25">
      <c r="A15">
        <v>14</v>
      </c>
      <c r="B15" t="s">
        <v>71</v>
      </c>
      <c r="C15" t="s">
        <v>43</v>
      </c>
      <c r="D15" t="s">
        <v>23</v>
      </c>
      <c r="E15" t="s">
        <v>65</v>
      </c>
      <c r="F15" t="s">
        <v>72</v>
      </c>
      <c r="G15" t="s">
        <v>73</v>
      </c>
      <c r="H15">
        <v>14</v>
      </c>
      <c r="I15" s="6">
        <v>45778</v>
      </c>
      <c r="J15" t="s">
        <v>18</v>
      </c>
      <c r="K15" t="s">
        <v>19</v>
      </c>
      <c r="L15" t="s">
        <v>27</v>
      </c>
    </row>
    <row r="16" spans="1:12" x14ac:dyDescent="0.25">
      <c r="A16">
        <v>15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>
        <v>15</v>
      </c>
      <c r="I16" s="6">
        <v>45778</v>
      </c>
      <c r="J16" t="s">
        <v>18</v>
      </c>
      <c r="K16" t="s">
        <v>19</v>
      </c>
      <c r="L16" t="s">
        <v>27</v>
      </c>
    </row>
    <row r="17" spans="1:14" x14ac:dyDescent="0.25">
      <c r="A17">
        <v>16</v>
      </c>
      <c r="B17" t="s">
        <v>80</v>
      </c>
      <c r="C17" t="s">
        <v>75</v>
      </c>
      <c r="D17" t="s">
        <v>76</v>
      </c>
      <c r="E17" t="s">
        <v>77</v>
      </c>
      <c r="F17" t="s">
        <v>81</v>
      </c>
      <c r="G17" t="s">
        <v>82</v>
      </c>
      <c r="H17">
        <v>16</v>
      </c>
      <c r="I17" s="6">
        <v>45778</v>
      </c>
      <c r="J17" t="s">
        <v>18</v>
      </c>
      <c r="K17" t="s">
        <v>19</v>
      </c>
      <c r="L17" t="s">
        <v>27</v>
      </c>
    </row>
    <row r="18" spans="1:14" x14ac:dyDescent="0.25">
      <c r="A18">
        <v>17</v>
      </c>
      <c r="B18" t="s">
        <v>83</v>
      </c>
      <c r="C18" t="s">
        <v>75</v>
      </c>
      <c r="D18" t="s">
        <v>76</v>
      </c>
      <c r="E18" t="s">
        <v>77</v>
      </c>
      <c r="F18" t="s">
        <v>84</v>
      </c>
      <c r="G18" t="s">
        <v>85</v>
      </c>
      <c r="H18">
        <v>17</v>
      </c>
      <c r="I18" s="6">
        <v>45778</v>
      </c>
      <c r="J18" t="s">
        <v>18</v>
      </c>
      <c r="K18" t="s">
        <v>19</v>
      </c>
      <c r="L18" t="s">
        <v>27</v>
      </c>
    </row>
    <row r="19" spans="1:14" x14ac:dyDescent="0.25">
      <c r="A19">
        <v>18</v>
      </c>
      <c r="B19" t="s">
        <v>86</v>
      </c>
      <c r="C19" t="s">
        <v>75</v>
      </c>
      <c r="D19" t="s">
        <v>76</v>
      </c>
      <c r="E19" t="s">
        <v>77</v>
      </c>
      <c r="F19" t="s">
        <v>87</v>
      </c>
      <c r="G19" t="s">
        <v>88</v>
      </c>
      <c r="H19">
        <v>18</v>
      </c>
      <c r="I19" s="6">
        <v>45778</v>
      </c>
      <c r="J19" t="s">
        <v>18</v>
      </c>
      <c r="K19" t="s">
        <v>19</v>
      </c>
      <c r="L19" t="s">
        <v>27</v>
      </c>
    </row>
    <row r="20" spans="1:14" x14ac:dyDescent="0.25">
      <c r="A20">
        <v>19</v>
      </c>
      <c r="B20" t="s">
        <v>89</v>
      </c>
      <c r="C20" t="s">
        <v>75</v>
      </c>
      <c r="D20" t="s">
        <v>76</v>
      </c>
      <c r="E20" t="s">
        <v>77</v>
      </c>
      <c r="F20" t="s">
        <v>90</v>
      </c>
      <c r="G20" t="s">
        <v>91</v>
      </c>
      <c r="H20">
        <v>19</v>
      </c>
      <c r="I20" s="6">
        <v>45778</v>
      </c>
      <c r="J20" t="s">
        <v>18</v>
      </c>
      <c r="K20" t="s">
        <v>19</v>
      </c>
      <c r="L20" t="s">
        <v>27</v>
      </c>
    </row>
    <row r="21" spans="1:14" x14ac:dyDescent="0.25">
      <c r="A21">
        <v>20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>
        <v>20</v>
      </c>
      <c r="I21" s="2">
        <v>45778</v>
      </c>
      <c r="J21" t="s">
        <v>98</v>
      </c>
      <c r="K21" t="s">
        <v>19</v>
      </c>
      <c r="L21" t="s">
        <v>27</v>
      </c>
      <c r="N21" s="3"/>
    </row>
    <row r="22" spans="1:14" x14ac:dyDescent="0.25">
      <c r="A22">
        <v>21</v>
      </c>
      <c r="B22" t="s">
        <v>99</v>
      </c>
      <c r="C22" t="s">
        <v>93</v>
      </c>
      <c r="D22" t="s">
        <v>94</v>
      </c>
      <c r="E22" t="s">
        <v>95</v>
      </c>
      <c r="F22" t="s">
        <v>100</v>
      </c>
      <c r="G22" t="s">
        <v>101</v>
      </c>
      <c r="H22">
        <v>21</v>
      </c>
      <c r="I22" s="2">
        <v>45778</v>
      </c>
      <c r="J22" t="s">
        <v>98</v>
      </c>
      <c r="K22" t="s">
        <v>19</v>
      </c>
      <c r="L22" t="s">
        <v>27</v>
      </c>
      <c r="N22" s="3"/>
    </row>
    <row r="23" spans="1:14" x14ac:dyDescent="0.25">
      <c r="A23">
        <v>22</v>
      </c>
      <c r="B23" t="s">
        <v>102</v>
      </c>
      <c r="C23" t="s">
        <v>93</v>
      </c>
      <c r="D23" t="s">
        <v>94</v>
      </c>
      <c r="E23" t="s">
        <v>95</v>
      </c>
      <c r="F23" t="s">
        <v>103</v>
      </c>
      <c r="G23" t="s">
        <v>104</v>
      </c>
      <c r="H23">
        <v>22</v>
      </c>
      <c r="I23" s="2">
        <v>45778</v>
      </c>
      <c r="J23" t="s">
        <v>98</v>
      </c>
      <c r="K23" t="s">
        <v>19</v>
      </c>
      <c r="L23" t="s">
        <v>27</v>
      </c>
      <c r="N23" s="3"/>
    </row>
    <row r="24" spans="1:14" x14ac:dyDescent="0.25">
      <c r="A24">
        <v>23</v>
      </c>
      <c r="B24" t="s">
        <v>105</v>
      </c>
      <c r="C24" t="s">
        <v>93</v>
      </c>
      <c r="D24" t="s">
        <v>94</v>
      </c>
      <c r="E24" t="s">
        <v>95</v>
      </c>
      <c r="F24" t="s">
        <v>106</v>
      </c>
      <c r="G24" t="s">
        <v>107</v>
      </c>
      <c r="H24">
        <v>23</v>
      </c>
      <c r="I24" s="2">
        <v>45778</v>
      </c>
      <c r="J24" t="s">
        <v>98</v>
      </c>
      <c r="K24" t="s">
        <v>19</v>
      </c>
      <c r="L24" t="s">
        <v>27</v>
      </c>
      <c r="N24" s="3"/>
    </row>
    <row r="25" spans="1:14" x14ac:dyDescent="0.25">
      <c r="A25">
        <v>24</v>
      </c>
      <c r="B25" t="s">
        <v>108</v>
      </c>
      <c r="C25" t="s">
        <v>93</v>
      </c>
      <c r="D25" t="s">
        <v>94</v>
      </c>
      <c r="E25" t="s">
        <v>109</v>
      </c>
      <c r="F25" t="s">
        <v>110</v>
      </c>
      <c r="G25" t="s">
        <v>111</v>
      </c>
      <c r="H25">
        <v>24</v>
      </c>
      <c r="I25" s="2">
        <v>45778</v>
      </c>
      <c r="J25" t="s">
        <v>98</v>
      </c>
      <c r="K25" t="s">
        <v>19</v>
      </c>
      <c r="L25" t="s">
        <v>27</v>
      </c>
      <c r="N25" s="3"/>
    </row>
    <row r="26" spans="1:14" x14ac:dyDescent="0.25">
      <c r="A26">
        <v>25</v>
      </c>
      <c r="B26" t="s">
        <v>112</v>
      </c>
      <c r="C26" t="s">
        <v>93</v>
      </c>
      <c r="D26" t="s">
        <v>94</v>
      </c>
      <c r="E26" t="s">
        <v>109</v>
      </c>
      <c r="F26" t="s">
        <v>113</v>
      </c>
      <c r="G26" t="s">
        <v>114</v>
      </c>
      <c r="H26">
        <v>25</v>
      </c>
      <c r="I26" s="2">
        <v>45778</v>
      </c>
      <c r="J26" t="s">
        <v>98</v>
      </c>
      <c r="K26" t="s">
        <v>19</v>
      </c>
      <c r="L26" t="s">
        <v>27</v>
      </c>
      <c r="N26" s="3"/>
    </row>
    <row r="27" spans="1:14" x14ac:dyDescent="0.25">
      <c r="A27">
        <v>26</v>
      </c>
      <c r="B27" t="s">
        <v>115</v>
      </c>
      <c r="C27" t="s">
        <v>116</v>
      </c>
      <c r="D27" t="s">
        <v>9</v>
      </c>
      <c r="E27" t="s">
        <v>117</v>
      </c>
      <c r="F27" t="s">
        <v>118</v>
      </c>
      <c r="G27" t="s">
        <v>98</v>
      </c>
      <c r="H27">
        <v>26</v>
      </c>
      <c r="I27" s="2">
        <v>45047</v>
      </c>
      <c r="J27" t="s">
        <v>98</v>
      </c>
      <c r="K27" t="s">
        <v>19</v>
      </c>
      <c r="L27" t="s">
        <v>27</v>
      </c>
    </row>
    <row r="28" spans="1:14" x14ac:dyDescent="0.25">
      <c r="A28">
        <v>27</v>
      </c>
      <c r="B28" t="s">
        <v>119</v>
      </c>
      <c r="C28" t="s">
        <v>116</v>
      </c>
      <c r="D28" t="s">
        <v>9</v>
      </c>
      <c r="E28" t="s">
        <v>117</v>
      </c>
      <c r="F28" t="s">
        <v>120</v>
      </c>
      <c r="G28" t="s">
        <v>121</v>
      </c>
      <c r="H28">
        <v>27</v>
      </c>
      <c r="I28" s="2">
        <v>45047</v>
      </c>
      <c r="J28" t="s">
        <v>121</v>
      </c>
      <c r="K28" t="s">
        <v>19</v>
      </c>
      <c r="L28" t="s">
        <v>27</v>
      </c>
    </row>
    <row r="29" spans="1:14" x14ac:dyDescent="0.25">
      <c r="A29">
        <v>28</v>
      </c>
      <c r="B29" t="s">
        <v>122</v>
      </c>
      <c r="C29" t="s">
        <v>123</v>
      </c>
      <c r="D29" t="s">
        <v>44</v>
      </c>
      <c r="E29" t="s">
        <v>45</v>
      </c>
      <c r="F29" t="s">
        <v>124</v>
      </c>
      <c r="G29" t="s">
        <v>125</v>
      </c>
      <c r="H29">
        <v>28</v>
      </c>
      <c r="I29" s="2">
        <v>46213</v>
      </c>
      <c r="J29" t="s">
        <v>18</v>
      </c>
      <c r="K29" t="s">
        <v>19</v>
      </c>
      <c r="L29" t="s">
        <v>126</v>
      </c>
      <c r="M29">
        <f>H29-25000-169000-10000</f>
        <v>-203972</v>
      </c>
    </row>
    <row r="30" spans="1:14" x14ac:dyDescent="0.25">
      <c r="A30">
        <v>29</v>
      </c>
      <c r="B30" t="s">
        <v>127</v>
      </c>
      <c r="C30" t="s">
        <v>123</v>
      </c>
      <c r="D30" t="s">
        <v>44</v>
      </c>
      <c r="E30" t="s">
        <v>128</v>
      </c>
      <c r="F30" t="s">
        <v>129</v>
      </c>
      <c r="G30" t="s">
        <v>130</v>
      </c>
      <c r="H30">
        <v>29</v>
      </c>
      <c r="I30" s="2">
        <v>46235</v>
      </c>
      <c r="J30" t="s">
        <v>18</v>
      </c>
      <c r="K30" t="s">
        <v>19</v>
      </c>
      <c r="L30" t="s">
        <v>131</v>
      </c>
      <c r="M30">
        <v>5000</v>
      </c>
    </row>
    <row r="31" spans="1:14" x14ac:dyDescent="0.25">
      <c r="A31">
        <v>30</v>
      </c>
      <c r="B31" t="s">
        <v>132</v>
      </c>
      <c r="C31" t="s">
        <v>93</v>
      </c>
      <c r="D31" t="s">
        <v>94</v>
      </c>
      <c r="E31" t="s">
        <v>109</v>
      </c>
      <c r="F31" t="s">
        <v>133</v>
      </c>
      <c r="G31" t="s">
        <v>134</v>
      </c>
      <c r="H31">
        <v>30</v>
      </c>
      <c r="I31" s="2">
        <v>46266</v>
      </c>
      <c r="J31" t="s">
        <v>98</v>
      </c>
      <c r="K31" t="s">
        <v>19</v>
      </c>
      <c r="L31" t="s">
        <v>131</v>
      </c>
      <c r="M31">
        <f>H31*5.19</f>
        <v>155.70000000000002</v>
      </c>
      <c r="N31" s="3"/>
    </row>
    <row r="32" spans="1:14" x14ac:dyDescent="0.25">
      <c r="A32">
        <v>31</v>
      </c>
      <c r="B32" t="s">
        <v>99</v>
      </c>
      <c r="C32" t="s">
        <v>93</v>
      </c>
      <c r="D32" t="s">
        <v>94</v>
      </c>
      <c r="E32" t="s">
        <v>95</v>
      </c>
      <c r="F32" t="s">
        <v>100</v>
      </c>
      <c r="G32" t="s">
        <v>101</v>
      </c>
      <c r="H32">
        <v>31</v>
      </c>
      <c r="I32" s="2">
        <v>46266</v>
      </c>
      <c r="J32" t="s">
        <v>98</v>
      </c>
      <c r="K32" t="s">
        <v>19</v>
      </c>
      <c r="L32" t="s">
        <v>131</v>
      </c>
      <c r="M32">
        <f t="shared" ref="M32:M35" si="0">H32*5.19</f>
        <v>160.89000000000001</v>
      </c>
      <c r="N32" s="3"/>
    </row>
    <row r="33" spans="1:14" x14ac:dyDescent="0.25">
      <c r="A33">
        <v>32</v>
      </c>
      <c r="B33" t="s">
        <v>102</v>
      </c>
      <c r="C33" t="s">
        <v>93</v>
      </c>
      <c r="D33" t="s">
        <v>94</v>
      </c>
      <c r="E33" t="s">
        <v>95</v>
      </c>
      <c r="F33" t="s">
        <v>103</v>
      </c>
      <c r="G33" t="s">
        <v>104</v>
      </c>
      <c r="H33">
        <v>32</v>
      </c>
      <c r="I33" s="2">
        <v>46266</v>
      </c>
      <c r="J33" t="s">
        <v>98</v>
      </c>
      <c r="K33" t="s">
        <v>19</v>
      </c>
      <c r="L33" t="s">
        <v>131</v>
      </c>
      <c r="M33">
        <f t="shared" si="0"/>
        <v>166.08</v>
      </c>
      <c r="N33" s="3"/>
    </row>
    <row r="34" spans="1:14" x14ac:dyDescent="0.25">
      <c r="A34">
        <v>33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>
        <v>33</v>
      </c>
      <c r="I34" s="2">
        <v>46266</v>
      </c>
      <c r="J34" t="s">
        <v>98</v>
      </c>
      <c r="K34" t="s">
        <v>19</v>
      </c>
      <c r="L34" t="s">
        <v>131</v>
      </c>
      <c r="M34">
        <f t="shared" si="0"/>
        <v>171.27</v>
      </c>
      <c r="N34" s="3"/>
    </row>
    <row r="35" spans="1:14" x14ac:dyDescent="0.25">
      <c r="A35">
        <v>34</v>
      </c>
      <c r="B35" t="s">
        <v>112</v>
      </c>
      <c r="C35" t="s">
        <v>93</v>
      </c>
      <c r="D35" t="s">
        <v>94</v>
      </c>
      <c r="E35" t="s">
        <v>109</v>
      </c>
      <c r="F35" t="s">
        <v>113</v>
      </c>
      <c r="G35" t="s">
        <v>114</v>
      </c>
      <c r="H35">
        <v>34</v>
      </c>
      <c r="I35" s="2">
        <v>46266</v>
      </c>
      <c r="J35" t="s">
        <v>98</v>
      </c>
      <c r="K35" t="s">
        <v>19</v>
      </c>
      <c r="L35" t="s">
        <v>131</v>
      </c>
      <c r="M35">
        <f t="shared" si="0"/>
        <v>176.46</v>
      </c>
    </row>
    <row r="36" spans="1:14" x14ac:dyDescent="0.25">
      <c r="A36">
        <v>35</v>
      </c>
      <c r="B36" t="s">
        <v>135</v>
      </c>
      <c r="C36" t="s">
        <v>43</v>
      </c>
      <c r="D36" t="s">
        <v>44</v>
      </c>
      <c r="E36" t="s">
        <v>45</v>
      </c>
      <c r="F36" t="s">
        <v>136</v>
      </c>
      <c r="H36">
        <v>35</v>
      </c>
      <c r="I36" s="2">
        <v>46268</v>
      </c>
      <c r="J36" t="s">
        <v>18</v>
      </c>
      <c r="K36" t="s">
        <v>19</v>
      </c>
      <c r="L36" t="s">
        <v>131</v>
      </c>
    </row>
    <row r="37" spans="1:14" x14ac:dyDescent="0.25">
      <c r="A37">
        <v>36</v>
      </c>
      <c r="B37" t="s">
        <v>137</v>
      </c>
      <c r="C37" t="s">
        <v>43</v>
      </c>
      <c r="D37" t="s">
        <v>44</v>
      </c>
      <c r="E37" t="s">
        <v>45</v>
      </c>
      <c r="F37" t="s">
        <v>138</v>
      </c>
      <c r="H37">
        <v>36</v>
      </c>
      <c r="I37" s="2">
        <v>46267</v>
      </c>
      <c r="J37" t="s">
        <v>18</v>
      </c>
      <c r="K37" t="s">
        <v>19</v>
      </c>
      <c r="L37" t="s">
        <v>131</v>
      </c>
    </row>
    <row r="38" spans="1:14" x14ac:dyDescent="0.25">
      <c r="C38" t="s">
        <v>139</v>
      </c>
      <c r="H38">
        <v>37</v>
      </c>
      <c r="L38" t="s">
        <v>131</v>
      </c>
    </row>
  </sheetData>
  <autoFilter ref="A1:M3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AA7-DAE6-4413-9335-75034F8F2A4B}">
  <dimension ref="A1:K17"/>
  <sheetViews>
    <sheetView workbookViewId="0">
      <selection activeCell="G2" sqref="G2"/>
    </sheetView>
  </sheetViews>
  <sheetFormatPr defaultRowHeight="15" x14ac:dyDescent="0.25"/>
  <cols>
    <col min="1" max="1" width="18.28515625" bestFit="1" customWidth="1"/>
    <col min="2" max="2" width="17.7109375" bestFit="1" customWidth="1"/>
    <col min="3" max="3" width="15.85546875" bestFit="1" customWidth="1"/>
    <col min="7" max="7" width="14.7109375" bestFit="1" customWidth="1"/>
  </cols>
  <sheetData>
    <row r="1" spans="1:11" x14ac:dyDescent="0.2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98</v>
      </c>
      <c r="F1" s="1" t="s">
        <v>121</v>
      </c>
      <c r="G1" s="1" t="s">
        <v>79</v>
      </c>
      <c r="H1" s="1"/>
      <c r="I1" s="1"/>
      <c r="J1" s="1"/>
      <c r="K1" s="1" t="s">
        <v>11</v>
      </c>
    </row>
    <row r="2" spans="1:11" x14ac:dyDescent="0.25">
      <c r="A2" s="2">
        <v>46225</v>
      </c>
      <c r="B2" s="3">
        <v>0.14149999999999999</v>
      </c>
      <c r="C2" s="3">
        <v>0.14249999999999999</v>
      </c>
      <c r="D2" s="3">
        <v>1.6000000000000001E-3</v>
      </c>
      <c r="E2">
        <v>5.0566000000000004</v>
      </c>
      <c r="F2">
        <v>6.79</v>
      </c>
      <c r="G2" s="5">
        <v>335675</v>
      </c>
      <c r="H2" s="4"/>
      <c r="I2" s="4"/>
      <c r="J2" s="4"/>
    </row>
    <row r="3" spans="1:11" x14ac:dyDescent="0.25">
      <c r="A3" s="2"/>
    </row>
    <row r="4" spans="1:11" x14ac:dyDescent="0.25">
      <c r="A4" s="2"/>
    </row>
    <row r="12" spans="1:11" x14ac:dyDescent="0.25">
      <c r="A12" s="1"/>
      <c r="B12" s="1"/>
      <c r="C12" s="1"/>
      <c r="D12" s="1"/>
    </row>
    <row r="13" spans="1:11" x14ac:dyDescent="0.25">
      <c r="A13" s="2"/>
    </row>
    <row r="14" spans="1:11" x14ac:dyDescent="0.25">
      <c r="A14" s="2"/>
      <c r="B14" s="3"/>
    </row>
    <row r="15" spans="1:11" x14ac:dyDescent="0.25">
      <c r="A15" s="2"/>
      <c r="B15" s="3"/>
    </row>
    <row r="16" spans="1:11" x14ac:dyDescent="0.25">
      <c r="A16" s="2"/>
    </row>
    <row r="17" spans="1:2" x14ac:dyDescent="0.25">
      <c r="A17" s="2"/>
      <c r="B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0668-9CEB-4036-A543-14251D892C97}">
  <dimension ref="A1:K70"/>
  <sheetViews>
    <sheetView topLeftCell="A36" workbookViewId="0">
      <selection activeCell="G2" sqref="G2:G70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3.85546875" bestFit="1" customWidth="1"/>
    <col min="4" max="4" width="11.7109375" customWidth="1"/>
    <col min="5" max="5" width="35.140625" bestFit="1" customWidth="1"/>
    <col min="6" max="6" width="12.42578125" bestFit="1" customWidth="1"/>
    <col min="7" max="7" width="14.7109375" style="5" bestFit="1" customWidth="1"/>
    <col min="8" max="8" width="7.28515625" bestFit="1" customWidth="1"/>
    <col min="9" max="9" width="13.7109375" style="5" bestFit="1" customWidth="1"/>
    <col min="10" max="10" width="16.85546875" bestFit="1" customWidth="1"/>
    <col min="11" max="11" width="23.140625" bestFit="1" customWidth="1"/>
  </cols>
  <sheetData>
    <row r="1" spans="1:11" x14ac:dyDescent="0.25">
      <c r="A1" s="1" t="s">
        <v>140</v>
      </c>
      <c r="B1" s="1" t="s">
        <v>144</v>
      </c>
      <c r="C1" s="1" t="s">
        <v>2</v>
      </c>
      <c r="D1" s="1" t="s">
        <v>3</v>
      </c>
      <c r="E1" s="1" t="s">
        <v>5</v>
      </c>
      <c r="F1" s="1" t="s">
        <v>1</v>
      </c>
      <c r="G1" s="7" t="s">
        <v>145</v>
      </c>
      <c r="H1" s="1" t="s">
        <v>146</v>
      </c>
      <c r="I1" s="7" t="s">
        <v>147</v>
      </c>
      <c r="J1" s="1" t="s">
        <v>148</v>
      </c>
      <c r="K1" s="1" t="s">
        <v>11</v>
      </c>
    </row>
    <row r="2" spans="1:11" x14ac:dyDescent="0.25">
      <c r="A2" s="2">
        <v>45916</v>
      </c>
      <c r="B2" s="8">
        <f>DATE(YEAR(A2),MONTH(A2)+1,0)</f>
        <v>45930</v>
      </c>
      <c r="C2" s="2" t="s">
        <v>93</v>
      </c>
      <c r="D2" s="2" t="s">
        <v>94</v>
      </c>
      <c r="E2" s="2" t="s">
        <v>96</v>
      </c>
      <c r="F2" t="s">
        <v>92</v>
      </c>
      <c r="G2" s="5">
        <v>1</v>
      </c>
    </row>
    <row r="3" spans="1:11" x14ac:dyDescent="0.25">
      <c r="A3" s="2">
        <v>45916</v>
      </c>
      <c r="B3" s="8">
        <f t="shared" ref="B3:B67" si="0">DATE(YEAR(A3),MONTH(A3)+1,0)</f>
        <v>45930</v>
      </c>
      <c r="C3" s="2" t="s">
        <v>93</v>
      </c>
      <c r="D3" s="2" t="s">
        <v>94</v>
      </c>
      <c r="E3" s="2" t="s">
        <v>149</v>
      </c>
      <c r="F3" t="s">
        <v>99</v>
      </c>
      <c r="G3" s="5">
        <v>2</v>
      </c>
    </row>
    <row r="4" spans="1:11" x14ac:dyDescent="0.25">
      <c r="A4" s="2">
        <v>45916</v>
      </c>
      <c r="B4" s="8">
        <f t="shared" si="0"/>
        <v>45930</v>
      </c>
      <c r="C4" s="2" t="s">
        <v>93</v>
      </c>
      <c r="D4" s="2" t="s">
        <v>94</v>
      </c>
      <c r="E4" s="2" t="s">
        <v>103</v>
      </c>
      <c r="F4" t="s">
        <v>102</v>
      </c>
      <c r="G4" s="5">
        <v>3</v>
      </c>
    </row>
    <row r="5" spans="1:11" x14ac:dyDescent="0.25">
      <c r="A5" s="2">
        <v>45916</v>
      </c>
      <c r="B5" s="8">
        <f t="shared" si="0"/>
        <v>45930</v>
      </c>
      <c r="C5" s="2" t="s">
        <v>93</v>
      </c>
      <c r="D5" s="2" t="s">
        <v>94</v>
      </c>
      <c r="E5" s="2" t="s">
        <v>106</v>
      </c>
      <c r="F5" t="s">
        <v>105</v>
      </c>
      <c r="G5" s="5">
        <v>4</v>
      </c>
    </row>
    <row r="6" spans="1:11" x14ac:dyDescent="0.25">
      <c r="A6" s="2">
        <v>45916</v>
      </c>
      <c r="B6" s="8">
        <f t="shared" si="0"/>
        <v>45930</v>
      </c>
      <c r="C6" s="2" t="s">
        <v>93</v>
      </c>
      <c r="D6" s="2" t="s">
        <v>94</v>
      </c>
      <c r="E6" s="2" t="s">
        <v>150</v>
      </c>
      <c r="F6" t="s">
        <v>108</v>
      </c>
      <c r="G6" s="5">
        <v>5</v>
      </c>
    </row>
    <row r="7" spans="1:11" x14ac:dyDescent="0.25">
      <c r="A7" s="2">
        <v>45916</v>
      </c>
      <c r="B7" s="8">
        <f t="shared" si="0"/>
        <v>45930</v>
      </c>
      <c r="C7" s="2" t="s">
        <v>93</v>
      </c>
      <c r="D7" s="2" t="s">
        <v>94</v>
      </c>
      <c r="E7" s="2" t="s">
        <v>114</v>
      </c>
      <c r="F7" t="s">
        <v>112</v>
      </c>
      <c r="G7" s="5">
        <v>6</v>
      </c>
    </row>
    <row r="8" spans="1:11" x14ac:dyDescent="0.25">
      <c r="A8" s="2">
        <v>46220</v>
      </c>
      <c r="B8" s="8">
        <f t="shared" si="0"/>
        <v>46234</v>
      </c>
      <c r="C8" s="2" t="s">
        <v>123</v>
      </c>
      <c r="D8" t="s">
        <v>44</v>
      </c>
      <c r="E8" t="s">
        <v>124</v>
      </c>
      <c r="F8" t="s">
        <v>122</v>
      </c>
      <c r="G8" s="5">
        <v>7</v>
      </c>
      <c r="I8" s="5">
        <v>25000</v>
      </c>
      <c r="K8" t="s">
        <v>151</v>
      </c>
    </row>
    <row r="9" spans="1:11" x14ac:dyDescent="0.25">
      <c r="A9" s="2">
        <v>46225</v>
      </c>
      <c r="B9" s="8">
        <f t="shared" si="0"/>
        <v>46234</v>
      </c>
      <c r="C9" s="2" t="s">
        <v>13</v>
      </c>
      <c r="D9" s="2" t="s">
        <v>14</v>
      </c>
      <c r="E9" s="2" t="s">
        <v>14</v>
      </c>
      <c r="F9" t="s">
        <v>12</v>
      </c>
      <c r="G9" s="5">
        <v>8</v>
      </c>
    </row>
    <row r="10" spans="1:11" x14ac:dyDescent="0.25">
      <c r="A10" s="2">
        <v>46225</v>
      </c>
      <c r="B10" s="8">
        <f t="shared" si="0"/>
        <v>46234</v>
      </c>
      <c r="C10" s="2" t="s">
        <v>22</v>
      </c>
      <c r="D10" s="2" t="s">
        <v>24</v>
      </c>
      <c r="E10" s="2" t="s">
        <v>25</v>
      </c>
      <c r="F10" t="s">
        <v>21</v>
      </c>
      <c r="G10" s="5">
        <v>9</v>
      </c>
    </row>
    <row r="11" spans="1:11" x14ac:dyDescent="0.25">
      <c r="A11" s="2">
        <v>46225</v>
      </c>
      <c r="B11" s="8">
        <f t="shared" si="0"/>
        <v>46234</v>
      </c>
      <c r="C11" s="2" t="s">
        <v>22</v>
      </c>
      <c r="D11" s="2" t="s">
        <v>24</v>
      </c>
      <c r="E11" s="2" t="s">
        <v>152</v>
      </c>
      <c r="F11" t="s">
        <v>28</v>
      </c>
      <c r="G11" s="5">
        <v>10</v>
      </c>
    </row>
    <row r="12" spans="1:11" x14ac:dyDescent="0.25">
      <c r="A12" s="2">
        <v>46225</v>
      </c>
      <c r="B12" s="8">
        <f t="shared" si="0"/>
        <v>46234</v>
      </c>
      <c r="C12" s="2" t="s">
        <v>22</v>
      </c>
      <c r="D12" s="2" t="s">
        <v>24</v>
      </c>
      <c r="E12" s="2" t="s">
        <v>153</v>
      </c>
      <c r="F12" t="s">
        <v>31</v>
      </c>
      <c r="G12" s="5">
        <v>11</v>
      </c>
    </row>
    <row r="13" spans="1:11" x14ac:dyDescent="0.25">
      <c r="A13" s="2">
        <v>46225</v>
      </c>
      <c r="B13" s="8">
        <f t="shared" si="0"/>
        <v>46234</v>
      </c>
      <c r="C13" s="2" t="s">
        <v>22</v>
      </c>
      <c r="D13" s="2" t="s">
        <v>24</v>
      </c>
      <c r="E13" s="2" t="s">
        <v>154</v>
      </c>
      <c r="F13" t="s">
        <v>34</v>
      </c>
      <c r="G13" s="5">
        <v>12</v>
      </c>
    </row>
    <row r="14" spans="1:11" x14ac:dyDescent="0.25">
      <c r="A14" s="2">
        <v>46225</v>
      </c>
      <c r="B14" s="8">
        <f t="shared" si="0"/>
        <v>46234</v>
      </c>
      <c r="C14" s="2" t="s">
        <v>22</v>
      </c>
      <c r="D14" s="2" t="s">
        <v>155</v>
      </c>
      <c r="E14" s="2" t="s">
        <v>156</v>
      </c>
      <c r="F14" t="s">
        <v>37</v>
      </c>
      <c r="G14" s="5">
        <v>13</v>
      </c>
    </row>
    <row r="15" spans="1:11" x14ac:dyDescent="0.25">
      <c r="A15" s="2">
        <v>46225</v>
      </c>
      <c r="B15" s="8">
        <f t="shared" si="0"/>
        <v>46234</v>
      </c>
      <c r="C15" s="2" t="s">
        <v>43</v>
      </c>
      <c r="D15" s="2" t="s">
        <v>44</v>
      </c>
      <c r="E15" s="2" t="s">
        <v>157</v>
      </c>
      <c r="F15" t="s">
        <v>42</v>
      </c>
      <c r="G15" s="5">
        <v>14</v>
      </c>
    </row>
    <row r="16" spans="1:11" x14ac:dyDescent="0.25">
      <c r="A16" s="2">
        <v>46225</v>
      </c>
      <c r="B16" s="8">
        <f t="shared" si="0"/>
        <v>46234</v>
      </c>
      <c r="C16" s="2" t="s">
        <v>43</v>
      </c>
      <c r="D16" s="2" t="s">
        <v>44</v>
      </c>
      <c r="E16" s="2" t="s">
        <v>158</v>
      </c>
      <c r="F16" t="s">
        <v>48</v>
      </c>
      <c r="G16" s="5">
        <v>15</v>
      </c>
    </row>
    <row r="17" spans="1:9" x14ac:dyDescent="0.25">
      <c r="A17" s="2">
        <v>46225</v>
      </c>
      <c r="B17" s="8">
        <f t="shared" si="0"/>
        <v>46234</v>
      </c>
      <c r="C17" s="2" t="s">
        <v>43</v>
      </c>
      <c r="D17" s="2" t="s">
        <v>53</v>
      </c>
      <c r="E17" s="2" t="s">
        <v>159</v>
      </c>
      <c r="F17" t="s">
        <v>52</v>
      </c>
      <c r="G17" s="5">
        <v>16</v>
      </c>
    </row>
    <row r="18" spans="1:9" x14ac:dyDescent="0.25">
      <c r="A18" s="2">
        <v>46225</v>
      </c>
      <c r="B18" s="8">
        <f t="shared" si="0"/>
        <v>46234</v>
      </c>
      <c r="C18" s="2" t="s">
        <v>43</v>
      </c>
      <c r="D18" s="2" t="s">
        <v>53</v>
      </c>
      <c r="E18" s="2" t="s">
        <v>160</v>
      </c>
      <c r="F18" t="s">
        <v>57</v>
      </c>
      <c r="G18" s="5">
        <v>17</v>
      </c>
    </row>
    <row r="19" spans="1:9" x14ac:dyDescent="0.25">
      <c r="A19" s="2">
        <v>46225</v>
      </c>
      <c r="B19" s="8">
        <f t="shared" si="0"/>
        <v>46234</v>
      </c>
      <c r="C19" s="2" t="s">
        <v>43</v>
      </c>
      <c r="D19" s="2" t="s">
        <v>53</v>
      </c>
      <c r="E19" s="2" t="s">
        <v>161</v>
      </c>
      <c r="F19" t="s">
        <v>61</v>
      </c>
      <c r="G19" s="5">
        <v>18</v>
      </c>
      <c r="I19" s="5">
        <v>2469.56</v>
      </c>
    </row>
    <row r="20" spans="1:9" x14ac:dyDescent="0.25">
      <c r="A20" s="2">
        <v>46225</v>
      </c>
      <c r="B20" s="8">
        <f t="shared" si="0"/>
        <v>46234</v>
      </c>
      <c r="C20" s="2" t="s">
        <v>43</v>
      </c>
      <c r="D20" s="2" t="s">
        <v>162</v>
      </c>
      <c r="E20" t="s">
        <v>163</v>
      </c>
      <c r="F20" t="s">
        <v>64</v>
      </c>
      <c r="G20" s="5">
        <v>19</v>
      </c>
    </row>
    <row r="21" spans="1:9" x14ac:dyDescent="0.25">
      <c r="A21" s="2">
        <v>46225</v>
      </c>
      <c r="B21" s="8">
        <f t="shared" si="0"/>
        <v>46234</v>
      </c>
      <c r="C21" s="2" t="s">
        <v>43</v>
      </c>
      <c r="D21" s="2" t="s">
        <v>162</v>
      </c>
      <c r="E21" s="2" t="s">
        <v>164</v>
      </c>
      <c r="F21" t="s">
        <v>68</v>
      </c>
      <c r="G21" s="5">
        <v>20</v>
      </c>
    </row>
    <row r="22" spans="1:9" x14ac:dyDescent="0.25">
      <c r="A22" s="2">
        <v>46225</v>
      </c>
      <c r="B22" s="8">
        <f t="shared" si="0"/>
        <v>46234</v>
      </c>
      <c r="C22" s="2" t="s">
        <v>43</v>
      </c>
      <c r="D22" s="2" t="s">
        <v>162</v>
      </c>
      <c r="E22" s="2" t="s">
        <v>165</v>
      </c>
      <c r="F22" t="s">
        <v>71</v>
      </c>
      <c r="G22" s="5">
        <v>21</v>
      </c>
    </row>
    <row r="23" spans="1:9" x14ac:dyDescent="0.25">
      <c r="A23" s="2">
        <v>46225</v>
      </c>
      <c r="B23" s="8">
        <f t="shared" si="0"/>
        <v>46234</v>
      </c>
      <c r="C23" s="2" t="s">
        <v>75</v>
      </c>
      <c r="D23" s="2" t="s">
        <v>76</v>
      </c>
      <c r="E23" s="2" t="s">
        <v>78</v>
      </c>
      <c r="F23" t="s">
        <v>74</v>
      </c>
      <c r="G23" s="5">
        <v>22</v>
      </c>
    </row>
    <row r="24" spans="1:9" x14ac:dyDescent="0.25">
      <c r="A24" s="2">
        <v>46225</v>
      </c>
      <c r="B24" s="8">
        <f t="shared" si="0"/>
        <v>46234</v>
      </c>
      <c r="C24" s="2" t="s">
        <v>75</v>
      </c>
      <c r="D24" s="2" t="s">
        <v>76</v>
      </c>
      <c r="E24" s="2" t="s">
        <v>81</v>
      </c>
      <c r="F24" t="s">
        <v>80</v>
      </c>
      <c r="G24" s="5">
        <v>23</v>
      </c>
    </row>
    <row r="25" spans="1:9" x14ac:dyDescent="0.25">
      <c r="A25" s="2">
        <v>46225</v>
      </c>
      <c r="B25" s="8">
        <f t="shared" si="0"/>
        <v>46234</v>
      </c>
      <c r="C25" s="2" t="s">
        <v>75</v>
      </c>
      <c r="D25" s="2" t="s">
        <v>76</v>
      </c>
      <c r="E25" s="2" t="s">
        <v>166</v>
      </c>
      <c r="F25" t="s">
        <v>83</v>
      </c>
      <c r="G25" s="5">
        <v>24</v>
      </c>
    </row>
    <row r="26" spans="1:9" x14ac:dyDescent="0.25">
      <c r="A26" s="2">
        <v>46225</v>
      </c>
      <c r="B26" s="8">
        <f t="shared" si="0"/>
        <v>46234</v>
      </c>
      <c r="C26" s="2" t="s">
        <v>75</v>
      </c>
      <c r="D26" s="2" t="s">
        <v>76</v>
      </c>
      <c r="E26" s="2" t="s">
        <v>167</v>
      </c>
      <c r="F26" t="s">
        <v>86</v>
      </c>
      <c r="G26" s="5">
        <v>25</v>
      </c>
    </row>
    <row r="27" spans="1:9" x14ac:dyDescent="0.25">
      <c r="A27" s="2">
        <v>46225</v>
      </c>
      <c r="B27" s="8">
        <f t="shared" si="0"/>
        <v>46234</v>
      </c>
      <c r="C27" s="2" t="s">
        <v>75</v>
      </c>
      <c r="D27" s="2" t="s">
        <v>76</v>
      </c>
      <c r="E27" s="2" t="s">
        <v>90</v>
      </c>
      <c r="F27" t="s">
        <v>89</v>
      </c>
      <c r="G27" s="5">
        <v>26</v>
      </c>
    </row>
    <row r="28" spans="1:9" x14ac:dyDescent="0.25">
      <c r="A28" s="2">
        <v>46225</v>
      </c>
      <c r="B28" s="8">
        <f t="shared" si="0"/>
        <v>46234</v>
      </c>
      <c r="C28" s="2" t="s">
        <v>93</v>
      </c>
      <c r="D28" s="2" t="s">
        <v>94</v>
      </c>
      <c r="E28" s="2" t="s">
        <v>96</v>
      </c>
      <c r="F28" t="s">
        <v>92</v>
      </c>
      <c r="G28" s="5">
        <v>27</v>
      </c>
    </row>
    <row r="29" spans="1:9" x14ac:dyDescent="0.25">
      <c r="A29" s="2">
        <v>46225</v>
      </c>
      <c r="B29" s="8">
        <f t="shared" si="0"/>
        <v>46234</v>
      </c>
      <c r="C29" s="2" t="s">
        <v>93</v>
      </c>
      <c r="D29" s="2" t="s">
        <v>94</v>
      </c>
      <c r="E29" s="2" t="s">
        <v>149</v>
      </c>
      <c r="F29" t="s">
        <v>99</v>
      </c>
      <c r="G29" s="5">
        <v>28</v>
      </c>
    </row>
    <row r="30" spans="1:9" x14ac:dyDescent="0.25">
      <c r="A30" s="2">
        <v>46225</v>
      </c>
      <c r="B30" s="8">
        <f t="shared" si="0"/>
        <v>46234</v>
      </c>
      <c r="C30" s="2" t="s">
        <v>93</v>
      </c>
      <c r="D30" s="2" t="s">
        <v>94</v>
      </c>
      <c r="E30" s="2" t="s">
        <v>103</v>
      </c>
      <c r="F30" t="s">
        <v>102</v>
      </c>
      <c r="G30" s="5">
        <v>29</v>
      </c>
    </row>
    <row r="31" spans="1:9" x14ac:dyDescent="0.25">
      <c r="A31" s="2">
        <v>46225</v>
      </c>
      <c r="B31" s="8">
        <f t="shared" si="0"/>
        <v>46234</v>
      </c>
      <c r="C31" s="2" t="s">
        <v>93</v>
      </c>
      <c r="D31" s="2" t="s">
        <v>94</v>
      </c>
      <c r="E31" s="2" t="s">
        <v>106</v>
      </c>
      <c r="F31" t="s">
        <v>105</v>
      </c>
      <c r="G31" s="5">
        <v>30</v>
      </c>
    </row>
    <row r="32" spans="1:9" x14ac:dyDescent="0.25">
      <c r="A32" s="2">
        <v>46225</v>
      </c>
      <c r="B32" s="8">
        <f t="shared" si="0"/>
        <v>46234</v>
      </c>
      <c r="C32" s="2" t="s">
        <v>93</v>
      </c>
      <c r="D32" s="2" t="s">
        <v>94</v>
      </c>
      <c r="E32" s="2" t="s">
        <v>150</v>
      </c>
      <c r="F32" t="s">
        <v>108</v>
      </c>
      <c r="G32" s="5">
        <v>31</v>
      </c>
    </row>
    <row r="33" spans="1:8" x14ac:dyDescent="0.25">
      <c r="A33" s="2">
        <v>46225</v>
      </c>
      <c r="B33" s="8">
        <f t="shared" si="0"/>
        <v>46234</v>
      </c>
      <c r="C33" s="2" t="s">
        <v>93</v>
      </c>
      <c r="D33" s="2" t="s">
        <v>94</v>
      </c>
      <c r="E33" s="2" t="s">
        <v>114</v>
      </c>
      <c r="F33" t="s">
        <v>112</v>
      </c>
      <c r="G33" s="5">
        <v>32</v>
      </c>
    </row>
    <row r="34" spans="1:8" x14ac:dyDescent="0.25">
      <c r="A34" s="2">
        <v>46225</v>
      </c>
      <c r="B34" s="8">
        <f t="shared" si="0"/>
        <v>46234</v>
      </c>
      <c r="C34" s="2" t="s">
        <v>116</v>
      </c>
      <c r="D34" s="2" t="s">
        <v>14</v>
      </c>
      <c r="E34" s="2" t="s">
        <v>168</v>
      </c>
      <c r="F34" t="s">
        <v>115</v>
      </c>
      <c r="G34" s="5">
        <v>33</v>
      </c>
    </row>
    <row r="35" spans="1:8" x14ac:dyDescent="0.25">
      <c r="A35" s="2">
        <v>46225</v>
      </c>
      <c r="B35" s="8">
        <f t="shared" si="0"/>
        <v>46234</v>
      </c>
      <c r="C35" s="2" t="s">
        <v>116</v>
      </c>
      <c r="D35" s="2" t="s">
        <v>14</v>
      </c>
      <c r="E35" s="2" t="s">
        <v>169</v>
      </c>
      <c r="F35" t="s">
        <v>119</v>
      </c>
      <c r="G35" s="5">
        <v>34</v>
      </c>
    </row>
    <row r="36" spans="1:8" x14ac:dyDescent="0.25">
      <c r="A36" s="2">
        <v>46226</v>
      </c>
      <c r="B36" s="8">
        <f t="shared" si="0"/>
        <v>46234</v>
      </c>
      <c r="C36" t="s">
        <v>123</v>
      </c>
      <c r="D36" t="s">
        <v>44</v>
      </c>
      <c r="E36" t="s">
        <v>124</v>
      </c>
      <c r="F36" t="s">
        <v>122</v>
      </c>
      <c r="G36" s="5">
        <v>35</v>
      </c>
    </row>
    <row r="37" spans="1:8" x14ac:dyDescent="0.25">
      <c r="A37" s="2">
        <v>46226</v>
      </c>
      <c r="B37" s="8">
        <f t="shared" si="0"/>
        <v>46234</v>
      </c>
      <c r="C37" t="s">
        <v>123</v>
      </c>
      <c r="D37" t="s">
        <v>44</v>
      </c>
      <c r="E37" t="s">
        <v>170</v>
      </c>
      <c r="F37" t="s">
        <v>127</v>
      </c>
      <c r="G37" s="5">
        <v>36</v>
      </c>
    </row>
    <row r="38" spans="1:8" x14ac:dyDescent="0.25">
      <c r="A38" s="2">
        <v>46264</v>
      </c>
      <c r="B38" s="8">
        <f t="shared" si="0"/>
        <v>46265</v>
      </c>
      <c r="C38" s="2" t="s">
        <v>13</v>
      </c>
      <c r="D38" s="2" t="s">
        <v>14</v>
      </c>
      <c r="E38" s="2" t="s">
        <v>14</v>
      </c>
      <c r="F38" t="s">
        <v>12</v>
      </c>
      <c r="G38" s="5">
        <v>37</v>
      </c>
      <c r="H38">
        <v>2000</v>
      </c>
    </row>
    <row r="39" spans="1:8" x14ac:dyDescent="0.25">
      <c r="A39" s="2">
        <v>46264</v>
      </c>
      <c r="B39" s="8">
        <f t="shared" si="0"/>
        <v>46265</v>
      </c>
      <c r="C39" s="2" t="s">
        <v>22</v>
      </c>
      <c r="D39" s="2" t="s">
        <v>24</v>
      </c>
      <c r="E39" s="2" t="s">
        <v>25</v>
      </c>
      <c r="F39" t="s">
        <v>21</v>
      </c>
      <c r="G39" s="5">
        <v>38</v>
      </c>
    </row>
    <row r="40" spans="1:8" x14ac:dyDescent="0.25">
      <c r="A40" s="2">
        <v>46264</v>
      </c>
      <c r="B40" s="8">
        <f t="shared" si="0"/>
        <v>46265</v>
      </c>
      <c r="C40" s="2" t="s">
        <v>22</v>
      </c>
      <c r="D40" s="2" t="s">
        <v>24</v>
      </c>
      <c r="E40" s="2" t="s">
        <v>152</v>
      </c>
      <c r="F40" t="s">
        <v>28</v>
      </c>
      <c r="G40" s="5">
        <v>39</v>
      </c>
    </row>
    <row r="41" spans="1:8" x14ac:dyDescent="0.25">
      <c r="A41" s="2">
        <v>46264</v>
      </c>
      <c r="B41" s="8">
        <f t="shared" si="0"/>
        <v>46265</v>
      </c>
      <c r="C41" s="2" t="s">
        <v>22</v>
      </c>
      <c r="D41" s="2" t="s">
        <v>24</v>
      </c>
      <c r="E41" s="2" t="s">
        <v>153</v>
      </c>
      <c r="F41" t="s">
        <v>31</v>
      </c>
      <c r="G41" s="5">
        <v>40</v>
      </c>
    </row>
    <row r="42" spans="1:8" x14ac:dyDescent="0.25">
      <c r="A42" s="2">
        <v>46264</v>
      </c>
      <c r="B42" s="8">
        <f t="shared" si="0"/>
        <v>46265</v>
      </c>
      <c r="C42" s="2" t="s">
        <v>22</v>
      </c>
      <c r="D42" s="2" t="s">
        <v>24</v>
      </c>
      <c r="E42" s="2" t="s">
        <v>154</v>
      </c>
      <c r="F42" t="s">
        <v>34</v>
      </c>
      <c r="G42" s="5">
        <v>41</v>
      </c>
    </row>
    <row r="43" spans="1:8" x14ac:dyDescent="0.25">
      <c r="A43" s="2">
        <v>46264</v>
      </c>
      <c r="B43" s="8">
        <f t="shared" si="0"/>
        <v>46265</v>
      </c>
      <c r="C43" s="2" t="s">
        <v>22</v>
      </c>
      <c r="D43" s="2" t="s">
        <v>155</v>
      </c>
      <c r="E43" s="2" t="s">
        <v>156</v>
      </c>
      <c r="F43" t="s">
        <v>37</v>
      </c>
      <c r="G43" s="5">
        <v>42</v>
      </c>
    </row>
    <row r="44" spans="1:8" x14ac:dyDescent="0.25">
      <c r="A44" s="2">
        <v>46264</v>
      </c>
      <c r="B44" s="8">
        <f t="shared" si="0"/>
        <v>46265</v>
      </c>
      <c r="C44" s="2" t="s">
        <v>43</v>
      </c>
      <c r="D44" s="2" t="s">
        <v>44</v>
      </c>
      <c r="E44" s="2" t="s">
        <v>157</v>
      </c>
      <c r="F44" t="s">
        <v>42</v>
      </c>
      <c r="G44" s="5">
        <v>43</v>
      </c>
    </row>
    <row r="45" spans="1:8" x14ac:dyDescent="0.25">
      <c r="A45" s="2">
        <v>46264</v>
      </c>
      <c r="B45" s="8">
        <f t="shared" si="0"/>
        <v>46265</v>
      </c>
      <c r="C45" s="2" t="s">
        <v>43</v>
      </c>
      <c r="D45" s="2" t="s">
        <v>44</v>
      </c>
      <c r="E45" s="2" t="s">
        <v>158</v>
      </c>
      <c r="F45" t="s">
        <v>48</v>
      </c>
      <c r="G45" s="5">
        <v>44</v>
      </c>
    </row>
    <row r="46" spans="1:8" x14ac:dyDescent="0.25">
      <c r="A46" s="2">
        <v>46264</v>
      </c>
      <c r="B46" s="8">
        <f t="shared" si="0"/>
        <v>46265</v>
      </c>
      <c r="C46" s="2" t="s">
        <v>43</v>
      </c>
      <c r="D46" s="2" t="s">
        <v>53</v>
      </c>
      <c r="E46" s="2" t="s">
        <v>159</v>
      </c>
      <c r="F46" t="s">
        <v>52</v>
      </c>
      <c r="G46" s="5">
        <v>45</v>
      </c>
    </row>
    <row r="47" spans="1:8" x14ac:dyDescent="0.25">
      <c r="A47" s="2">
        <v>46264</v>
      </c>
      <c r="B47" s="8">
        <f t="shared" si="0"/>
        <v>46265</v>
      </c>
      <c r="C47" s="2" t="s">
        <v>43</v>
      </c>
      <c r="D47" s="2" t="s">
        <v>53</v>
      </c>
      <c r="E47" s="2" t="s">
        <v>160</v>
      </c>
      <c r="F47" t="s">
        <v>57</v>
      </c>
      <c r="G47" s="5">
        <v>46</v>
      </c>
    </row>
    <row r="48" spans="1:8" x14ac:dyDescent="0.25">
      <c r="A48" s="2">
        <v>46264</v>
      </c>
      <c r="B48" s="8">
        <f t="shared" si="0"/>
        <v>46265</v>
      </c>
      <c r="C48" s="2" t="s">
        <v>43</v>
      </c>
      <c r="D48" s="2" t="s">
        <v>53</v>
      </c>
      <c r="E48" s="2" t="s">
        <v>161</v>
      </c>
      <c r="F48" t="s">
        <v>61</v>
      </c>
      <c r="G48" s="5">
        <v>47</v>
      </c>
    </row>
    <row r="49" spans="1:11" x14ac:dyDescent="0.25">
      <c r="A49" s="2">
        <v>46264</v>
      </c>
      <c r="B49" s="8">
        <f t="shared" si="0"/>
        <v>46265</v>
      </c>
      <c r="C49" s="2" t="s">
        <v>43</v>
      </c>
      <c r="D49" s="2" t="s">
        <v>162</v>
      </c>
      <c r="E49" t="s">
        <v>163</v>
      </c>
      <c r="F49" t="s">
        <v>64</v>
      </c>
      <c r="G49" s="5">
        <v>48</v>
      </c>
    </row>
    <row r="50" spans="1:11" x14ac:dyDescent="0.25">
      <c r="A50" s="2">
        <v>46264</v>
      </c>
      <c r="B50" s="8">
        <f t="shared" si="0"/>
        <v>46265</v>
      </c>
      <c r="C50" s="2" t="s">
        <v>43</v>
      </c>
      <c r="D50" s="2" t="s">
        <v>162</v>
      </c>
      <c r="E50" s="2" t="s">
        <v>164</v>
      </c>
      <c r="F50" t="s">
        <v>68</v>
      </c>
      <c r="G50" s="5">
        <v>49</v>
      </c>
    </row>
    <row r="51" spans="1:11" x14ac:dyDescent="0.25">
      <c r="A51" s="2">
        <v>46264</v>
      </c>
      <c r="B51" s="8">
        <f t="shared" si="0"/>
        <v>46265</v>
      </c>
      <c r="C51" s="2" t="s">
        <v>43</v>
      </c>
      <c r="D51" s="2" t="s">
        <v>162</v>
      </c>
      <c r="E51" s="2" t="s">
        <v>165</v>
      </c>
      <c r="F51" t="s">
        <v>71</v>
      </c>
      <c r="G51" s="5">
        <v>50</v>
      </c>
    </row>
    <row r="52" spans="1:11" x14ac:dyDescent="0.25">
      <c r="A52" s="2">
        <v>46264</v>
      </c>
      <c r="B52" s="8">
        <f t="shared" si="0"/>
        <v>46265</v>
      </c>
      <c r="C52" s="2" t="s">
        <v>75</v>
      </c>
      <c r="D52" s="2" t="s">
        <v>76</v>
      </c>
      <c r="E52" s="2" t="s">
        <v>78</v>
      </c>
      <c r="F52" t="s">
        <v>74</v>
      </c>
      <c r="G52" s="5">
        <v>51</v>
      </c>
    </row>
    <row r="53" spans="1:11" x14ac:dyDescent="0.25">
      <c r="A53" s="2">
        <v>46264</v>
      </c>
      <c r="B53" s="8">
        <f t="shared" si="0"/>
        <v>46265</v>
      </c>
      <c r="C53" s="2" t="s">
        <v>75</v>
      </c>
      <c r="D53" s="2" t="s">
        <v>76</v>
      </c>
      <c r="E53" s="2" t="s">
        <v>81</v>
      </c>
      <c r="F53" t="s">
        <v>80</v>
      </c>
      <c r="G53" s="5">
        <v>52</v>
      </c>
    </row>
    <row r="54" spans="1:11" x14ac:dyDescent="0.25">
      <c r="A54" s="2">
        <v>46264</v>
      </c>
      <c r="B54" s="8">
        <f t="shared" si="0"/>
        <v>46265</v>
      </c>
      <c r="C54" s="2" t="s">
        <v>75</v>
      </c>
      <c r="D54" s="2" t="s">
        <v>76</v>
      </c>
      <c r="E54" s="2" t="s">
        <v>166</v>
      </c>
      <c r="F54" t="s">
        <v>83</v>
      </c>
      <c r="G54" s="5">
        <v>53</v>
      </c>
    </row>
    <row r="55" spans="1:11" x14ac:dyDescent="0.25">
      <c r="A55" s="2">
        <v>46264</v>
      </c>
      <c r="B55" s="8">
        <f t="shared" si="0"/>
        <v>46265</v>
      </c>
      <c r="C55" s="2" t="s">
        <v>75</v>
      </c>
      <c r="D55" s="2" t="s">
        <v>76</v>
      </c>
      <c r="E55" s="2" t="s">
        <v>167</v>
      </c>
      <c r="F55" t="s">
        <v>86</v>
      </c>
      <c r="G55" s="5">
        <v>54</v>
      </c>
    </row>
    <row r="56" spans="1:11" x14ac:dyDescent="0.25">
      <c r="A56" s="2">
        <v>46264</v>
      </c>
      <c r="B56" s="8">
        <f t="shared" si="0"/>
        <v>46265</v>
      </c>
      <c r="C56" s="2" t="s">
        <v>75</v>
      </c>
      <c r="D56" s="2" t="s">
        <v>76</v>
      </c>
      <c r="E56" s="2" t="s">
        <v>90</v>
      </c>
      <c r="F56" t="s">
        <v>89</v>
      </c>
      <c r="G56" s="5">
        <v>55</v>
      </c>
    </row>
    <row r="57" spans="1:11" x14ac:dyDescent="0.25">
      <c r="A57" s="2">
        <v>46264</v>
      </c>
      <c r="B57" s="8">
        <f t="shared" si="0"/>
        <v>46265</v>
      </c>
      <c r="C57" s="2" t="s">
        <v>93</v>
      </c>
      <c r="D57" s="2" t="s">
        <v>94</v>
      </c>
      <c r="E57" s="2" t="s">
        <v>96</v>
      </c>
      <c r="F57" t="s">
        <v>92</v>
      </c>
      <c r="G57" s="5">
        <v>56</v>
      </c>
      <c r="K57" t="s">
        <v>171</v>
      </c>
    </row>
    <row r="58" spans="1:11" x14ac:dyDescent="0.25">
      <c r="A58" s="2">
        <v>46264</v>
      </c>
      <c r="B58" s="8">
        <f t="shared" si="0"/>
        <v>46265</v>
      </c>
      <c r="C58" s="2" t="s">
        <v>93</v>
      </c>
      <c r="D58" s="2" t="s">
        <v>94</v>
      </c>
      <c r="E58" s="2" t="s">
        <v>149</v>
      </c>
      <c r="F58" t="s">
        <v>99</v>
      </c>
      <c r="G58" s="5">
        <v>57</v>
      </c>
      <c r="K58" t="s">
        <v>172</v>
      </c>
    </row>
    <row r="59" spans="1:11" x14ac:dyDescent="0.25">
      <c r="A59" s="2">
        <v>46264</v>
      </c>
      <c r="B59" s="8">
        <f t="shared" si="0"/>
        <v>46265</v>
      </c>
      <c r="C59" s="2" t="s">
        <v>93</v>
      </c>
      <c r="D59" s="2" t="s">
        <v>94</v>
      </c>
      <c r="E59" s="2" t="s">
        <v>103</v>
      </c>
      <c r="F59" t="s">
        <v>102</v>
      </c>
      <c r="G59" s="5">
        <v>58</v>
      </c>
      <c r="K59" t="s">
        <v>173</v>
      </c>
    </row>
    <row r="60" spans="1:11" x14ac:dyDescent="0.25">
      <c r="A60" s="2">
        <v>46264</v>
      </c>
      <c r="B60" s="8">
        <f t="shared" si="0"/>
        <v>46265</v>
      </c>
      <c r="C60" s="2" t="s">
        <v>93</v>
      </c>
      <c r="D60" s="2" t="s">
        <v>94</v>
      </c>
      <c r="E60" s="2" t="s">
        <v>106</v>
      </c>
      <c r="F60" t="s">
        <v>105</v>
      </c>
      <c r="G60" s="5">
        <v>59</v>
      </c>
    </row>
    <row r="61" spans="1:11" x14ac:dyDescent="0.25">
      <c r="A61" s="2">
        <v>46264</v>
      </c>
      <c r="B61" s="8">
        <f t="shared" si="0"/>
        <v>46265</v>
      </c>
      <c r="C61" s="2" t="s">
        <v>93</v>
      </c>
      <c r="D61" s="2" t="s">
        <v>94</v>
      </c>
      <c r="E61" s="2" t="s">
        <v>150</v>
      </c>
      <c r="F61" t="s">
        <v>108</v>
      </c>
      <c r="G61" s="5">
        <v>60</v>
      </c>
    </row>
    <row r="62" spans="1:11" x14ac:dyDescent="0.25">
      <c r="A62" s="2">
        <v>46264</v>
      </c>
      <c r="B62" s="8">
        <f t="shared" si="0"/>
        <v>46265</v>
      </c>
      <c r="C62" s="2" t="s">
        <v>93</v>
      </c>
      <c r="D62" s="2" t="s">
        <v>94</v>
      </c>
      <c r="E62" s="2" t="s">
        <v>114</v>
      </c>
      <c r="F62" t="s">
        <v>112</v>
      </c>
      <c r="G62" s="5">
        <v>61</v>
      </c>
      <c r="K62" t="s">
        <v>174</v>
      </c>
    </row>
    <row r="63" spans="1:11" x14ac:dyDescent="0.25">
      <c r="A63" s="2">
        <v>46264</v>
      </c>
      <c r="B63" s="8">
        <f t="shared" ref="B63" si="1">DATE(YEAR(A63),MONTH(A63)+1,0)</f>
        <v>46265</v>
      </c>
      <c r="C63" s="2" t="s">
        <v>93</v>
      </c>
      <c r="D63" s="2" t="s">
        <v>94</v>
      </c>
      <c r="E63" s="2" t="s">
        <v>134</v>
      </c>
      <c r="F63" t="s">
        <v>132</v>
      </c>
      <c r="G63" s="5">
        <v>62</v>
      </c>
      <c r="K63" t="s">
        <v>131</v>
      </c>
    </row>
    <row r="64" spans="1:11" x14ac:dyDescent="0.25">
      <c r="A64" s="2">
        <v>46264</v>
      </c>
      <c r="B64" s="8">
        <f t="shared" si="0"/>
        <v>46265</v>
      </c>
      <c r="C64" s="2" t="s">
        <v>116</v>
      </c>
      <c r="D64" s="2" t="s">
        <v>14</v>
      </c>
      <c r="E64" s="2" t="s">
        <v>168</v>
      </c>
      <c r="F64" t="s">
        <v>115</v>
      </c>
      <c r="G64" s="5">
        <v>63</v>
      </c>
    </row>
    <row r="65" spans="1:7" x14ac:dyDescent="0.25">
      <c r="A65" s="2">
        <v>46264</v>
      </c>
      <c r="B65" s="8">
        <f t="shared" si="0"/>
        <v>46265</v>
      </c>
      <c r="C65" s="2" t="s">
        <v>116</v>
      </c>
      <c r="D65" s="2" t="s">
        <v>14</v>
      </c>
      <c r="E65" s="2" t="s">
        <v>169</v>
      </c>
      <c r="F65" t="s">
        <v>119</v>
      </c>
      <c r="G65" s="5">
        <v>64</v>
      </c>
    </row>
    <row r="66" spans="1:7" x14ac:dyDescent="0.25">
      <c r="A66" s="2">
        <v>46264</v>
      </c>
      <c r="B66" s="8">
        <f t="shared" si="0"/>
        <v>46265</v>
      </c>
      <c r="C66" t="s">
        <v>123</v>
      </c>
      <c r="D66" t="s">
        <v>44</v>
      </c>
      <c r="E66" t="s">
        <v>124</v>
      </c>
      <c r="F66" t="s">
        <v>122</v>
      </c>
      <c r="G66" s="5">
        <v>65</v>
      </c>
    </row>
    <row r="67" spans="1:7" x14ac:dyDescent="0.25">
      <c r="A67" s="2">
        <v>46264</v>
      </c>
      <c r="B67" s="8">
        <f t="shared" si="0"/>
        <v>46265</v>
      </c>
      <c r="C67" t="s">
        <v>123</v>
      </c>
      <c r="D67" t="s">
        <v>44</v>
      </c>
      <c r="E67" t="s">
        <v>170</v>
      </c>
      <c r="F67" t="s">
        <v>127</v>
      </c>
      <c r="G67" s="5">
        <v>66</v>
      </c>
    </row>
    <row r="68" spans="1:7" x14ac:dyDescent="0.25">
      <c r="A68" s="2">
        <v>46264</v>
      </c>
      <c r="B68" s="8">
        <f t="shared" ref="B68" si="2">DATE(YEAR(A68),MONTH(A68)+1,0)</f>
        <v>46265</v>
      </c>
      <c r="C68" t="s">
        <v>43</v>
      </c>
      <c r="D68" t="s">
        <v>44</v>
      </c>
      <c r="E68" t="s">
        <v>45</v>
      </c>
      <c r="F68" t="s">
        <v>136</v>
      </c>
      <c r="G68" s="5">
        <v>67</v>
      </c>
    </row>
    <row r="69" spans="1:7" x14ac:dyDescent="0.25">
      <c r="A69" s="2">
        <v>46264</v>
      </c>
      <c r="B69" s="8">
        <f t="shared" ref="B69:B70" si="3">DATE(YEAR(A69),MONTH(A69)+1,0)</f>
        <v>46265</v>
      </c>
      <c r="C69" t="s">
        <v>43</v>
      </c>
      <c r="D69" t="s">
        <v>44</v>
      </c>
      <c r="E69" t="s">
        <v>45</v>
      </c>
      <c r="F69" t="s">
        <v>138</v>
      </c>
      <c r="G69" s="5">
        <v>68</v>
      </c>
    </row>
    <row r="70" spans="1:7" x14ac:dyDescent="0.25">
      <c r="A70" s="2">
        <v>46264</v>
      </c>
      <c r="B70" s="8">
        <f t="shared" si="3"/>
        <v>46265</v>
      </c>
      <c r="C70" t="s">
        <v>43</v>
      </c>
      <c r="G70" s="5">
        <v>69</v>
      </c>
    </row>
  </sheetData>
  <autoFilter ref="A1:L70" xr:uid="{42150668-9CEB-4036-A543-14251D892C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6F85-F244-4522-B4D1-81D7CD561E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F408-811D-4122-82AD-122F15273D06}">
  <dimension ref="A1"/>
  <sheetViews>
    <sheetView workbookViewId="0"/>
  </sheetViews>
  <sheetFormatPr defaultRowHeight="15" x14ac:dyDescent="0.25"/>
  <cols>
    <col min="1" max="1" width="3.28515625" bestFit="1" customWidth="1"/>
    <col min="2" max="2" width="12.42578125" bestFit="1" customWidth="1"/>
    <col min="3" max="3" width="13.85546875" bestFit="1" customWidth="1"/>
    <col min="4" max="4" width="14.28515625" bestFit="1" customWidth="1"/>
    <col min="5" max="5" width="18.28515625" bestFit="1" customWidth="1"/>
    <col min="6" max="6" width="25.85546875" bestFit="1" customWidth="1"/>
    <col min="7" max="7" width="10.42578125" bestFit="1" customWidth="1"/>
    <col min="8" max="8" width="7.42578125" bestFit="1" customWidth="1"/>
    <col min="9" max="9" width="11.140625" bestFit="1" customWidth="1"/>
    <col min="10" max="10" width="11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</vt:lpstr>
      <vt:lpstr>Indicadores</vt:lpstr>
      <vt:lpstr>Evolução Mensal</vt:lpstr>
      <vt:lpstr>Movimentações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Rodrigo Taborda Ribas</cp:lastModifiedBy>
  <cp:revision/>
  <dcterms:created xsi:type="dcterms:W3CDTF">2026-07-22T13:41:20Z</dcterms:created>
  <dcterms:modified xsi:type="dcterms:W3CDTF">2026-09-04T16:30:42Z</dcterms:modified>
  <cp:category/>
  <cp:contentStatus/>
</cp:coreProperties>
</file>