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shboard" sheetId="1" state="visible" r:id="rId1"/>
    <sheet name="Carteira Atual" sheetId="2" state="visible" r:id="rId2"/>
    <sheet name="Cadastro" sheetId="3" state="visible" r:id="rId3"/>
    <sheet name="Indicadores" sheetId="4" state="visible" r:id="rId4"/>
    <sheet name="Evolução Mensal" sheetId="5" state="visible" r:id="rId5"/>
    <sheet name="Movimentações" sheetId="6" state="visible" r:id="rId6"/>
  </sheets>
  <definedNames>
    <definedName name="_xlnm._FilterDatabase" localSheetId="2" hidden="1">'Cadastro'!$A$1:$M$37</definedName>
    <definedName name="_xlnm._FilterDatabase" localSheetId="4" hidden="1">'Evolução Mensal'!$A$1:$L$70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\R\$\ #,##0.00"/>
    <numFmt numFmtId="166" formatCode="0.0000"/>
    <numFmt numFmtId="167" formatCode="\R\$\ #,##0.0000"/>
  </numFmts>
  <fonts count="18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color rgb="FF1E293B"/>
      <sz val="10"/>
    </font>
    <font>
      <name val="Segoe UI"/>
      <b val="1"/>
      <color rgb="FF0F172A"/>
      <sz val="10"/>
    </font>
    <font>
      <name val="Segoe UI"/>
      <b val="1"/>
      <color rgb="FFFFFFFF"/>
      <sz val="14"/>
    </font>
    <font>
      <name val="Segoe UI"/>
      <color rgb="FF1E3A8A"/>
      <sz val="10"/>
    </font>
    <font>
      <name val="Segoe UI"/>
      <b val="1"/>
      <color rgb="FF1E40AF"/>
      <sz val="10"/>
    </font>
    <font>
      <name val="Segoe UI"/>
      <b val="1"/>
      <color rgb="FF0F172A"/>
      <sz val="11"/>
    </font>
    <font>
      <name val="Segoe UI"/>
      <b val="1"/>
      <color rgb="FFFFFFFF"/>
      <sz val="16"/>
    </font>
    <font>
      <name val="Segoe UI"/>
      <color rgb="FF94A3B8"/>
      <sz val="10"/>
    </font>
    <font>
      <name val="Segoe UI"/>
      <b val="1"/>
      <color rgb="FF64748B"/>
      <sz val="9"/>
    </font>
    <font>
      <name val="Segoe UI"/>
      <b val="1"/>
      <color rgb="FF1E3A8A"/>
      <sz val="16"/>
    </font>
    <font>
      <name val="Segoe UI"/>
      <color rgb="FF64748B"/>
      <sz val="9"/>
    </font>
    <font>
      <name val="Segoe UI"/>
      <b val="1"/>
      <color rgb="FF334155"/>
      <sz val="16"/>
    </font>
    <font>
      <name val="Segoe UI"/>
      <b val="1"/>
      <color rgb="FF059669"/>
      <sz val="16"/>
    </font>
    <font>
      <name val="Segoe UI"/>
      <b val="1"/>
      <color rgb="FFD97706"/>
      <sz val="16"/>
    </font>
    <font>
      <name val="Segoe UI"/>
      <b val="1"/>
      <color rgb="FF2563EB"/>
      <sz val="16"/>
    </font>
    <font>
      <name val="Segoe UI"/>
      <b val="1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E2E8F0"/>
        <bgColor rgb="FFE2E8F0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10" fontId="7" fillId="7" borderId="2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10" fontId="3" fillId="7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3" fillId="7" borderId="2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0" fillId="0" borderId="3" pivotButton="0" quotePrefix="0" xfId="0"/>
    <xf numFmtId="165" fontId="7" fillId="7" borderId="2" applyAlignment="1" pivotButton="0" quotePrefix="0" xfId="0">
      <alignment horizontal="right" vertical="center"/>
    </xf>
    <xf numFmtId="14" fontId="2" fillId="0" borderId="1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7" fillId="7" borderId="5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10" borderId="1" applyAlignment="1" pivotButton="0" quotePrefix="0" xfId="0">
      <alignment horizontal="center" vertical="center"/>
    </xf>
    <xf numFmtId="0" fontId="0" fillId="0" borderId="4" pivotButton="0" quotePrefix="0" xfId="0"/>
    <xf numFmtId="165" fontId="14" fillId="10" borderId="1" applyAlignment="1" pivotButton="0" quotePrefix="0" xfId="0">
      <alignment horizontal="center" vertical="center"/>
    </xf>
    <xf numFmtId="10" fontId="16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5" fontId="11" fillId="10" borderId="1" applyAlignment="1" pivotButton="0" quotePrefix="0" xfId="0">
      <alignment horizontal="center" vertical="center"/>
    </xf>
    <xf numFmtId="165" fontId="13" fillId="10" borderId="1" applyAlignment="1" pivotButton="0" quotePrefix="0" xfId="0">
      <alignment horizontal="center" vertical="center"/>
    </xf>
    <xf numFmtId="10" fontId="14" fillId="10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165" fontId="11" fillId="10" borderId="1" applyAlignment="1" pivotButton="0" quotePrefix="0" xfId="0">
      <alignment horizontal="center" vertical="center"/>
    </xf>
    <xf numFmtId="165" fontId="13" fillId="1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3" fillId="7" borderId="2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Alocação do Patrimônio por Classe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Dashboard!$D$9</f>
              <strCache>
                <ptCount val="1"/>
                <pt idx="0">
                  <v>Saldo Atual</v>
                </pt>
              </strCache>
            </strRef>
          </tx>
          <spPr>
            <a:ln>
              <a:prstDash val="solid"/>
            </a:ln>
          </spPr>
          <cat>
            <strRef>
              <f>Dashboard!$B$10:$B$16</f>
              <strCache>
                <ptCount val="7"/>
                <pt idx="0">
                  <v>Renda Fixa</v>
                </pt>
                <pt idx="1">
                  <v>Exterior</v>
                </pt>
                <pt idx="2">
                  <v>Renda Variável</v>
                </pt>
                <pt idx="3">
                  <v>Tesouro Direto</v>
                </pt>
                <pt idx="4">
                  <v>Cripto</v>
                </pt>
                <pt idx="5">
                  <v>Caixa</v>
                </pt>
                <pt idx="6">
                  <v>Moeda</v>
                </pt>
              </strCache>
            </strRef>
          </cat>
          <val>
            <numRef>
              <f>Dashboard!$D$10:$D$16</f>
              <numCache>
                <formatCode>\R\$\ #,##0.00</formatCode>
                <ptCount val="7"/>
                <pt idx="0">
                  <v>167300</v>
                </pt>
                <pt idx="1">
                  <v>145630.08</v>
                </pt>
                <pt idx="2">
                  <v>70770</v>
                </pt>
                <pt idx="3">
                  <v>33300</v>
                </pt>
                <pt idx="4">
                  <v>29520</v>
                </pt>
                <pt idx="5">
                  <v>1665</v>
                </pt>
                <pt idx="6">
                  <v>9836.369999999999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10"/>
      </doughnut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Posição Consolidada por Instituição (R$)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Dashboard!$D$20</f>
              <strCache>
                <ptCount val="1"/>
                <pt idx="0">
                  <v>Saldo Atual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Dashboard!$B$21:$B$27</f>
              <strCache>
                <ptCount val="7"/>
                <pt idx="0">
                  <v>XP</v>
                </pt>
                <pt idx="1">
                  <v>Avenue</v>
                </pt>
                <pt idx="2">
                  <v>C6</v>
                </pt>
                <pt idx="3">
                  <v>Clear</v>
                </pt>
                <pt idx="4">
                  <v>Binance</v>
                </pt>
                <pt idx="5">
                  <v>Wise</v>
                </pt>
                <pt idx="6">
                  <v>Mercado Pago</v>
                </pt>
              </strCache>
            </strRef>
          </cat>
          <val>
            <numRef>
              <f>Dashboard!$D$21:$D$27</f>
              <numCache>
                <formatCode>\R\$\ #,##0.00</formatCode>
                <ptCount val="7"/>
                <pt idx="0">
                  <v>183950</v>
                </pt>
                <pt idx="1">
                  <v>145630.08</v>
                </pt>
                <pt idx="2">
                  <v>49950</v>
                </pt>
                <pt idx="3">
                  <v>43020</v>
                </pt>
                <pt idx="4">
                  <v>29520</v>
                </pt>
                <pt idx="5">
                  <v>9836.369999999999</v>
                </pt>
                <pt idx="6">
                  <v>1665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Instituição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Saldo em R$</a:t>
                </a:r>
              </a:p>
            </rich>
          </tx>
          <overlay val="1"/>
        </title>
        <numFmt formatCode="\R\$\ 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167640</colOff>
      <row>6</row>
      <rowOff>152400</rowOff>
    </from>
    <ext cx="50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190500</colOff>
      <row>20</row>
      <rowOff>228600</rowOff>
    </from>
    <ext cx="50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5"/>
  <sheetViews>
    <sheetView showGridLines="0" tabSelected="1" workbookViewId="0">
      <selection activeCell="O4" sqref="O4"/>
    </sheetView>
  </sheetViews>
  <sheetFormatPr baseColWidth="8" defaultRowHeight="14.4"/>
  <cols>
    <col width="3" bestFit="1" customWidth="1" style="40" min="1" max="1"/>
    <col width="20" bestFit="1" customWidth="1" style="40" min="2" max="2"/>
    <col width="17" bestFit="1" customWidth="1" style="40" min="3" max="4"/>
    <col width="16" bestFit="1" customWidth="1" style="40" min="5" max="5"/>
    <col width="15" bestFit="1" customWidth="1" style="40" min="6" max="6"/>
    <col width="14" bestFit="1" customWidth="1" style="40" min="7" max="8"/>
    <col width="4" bestFit="1" customWidth="1" style="40" min="9" max="9"/>
    <col width="15" bestFit="1" customWidth="1" style="40" min="10" max="10"/>
    <col width="15" customWidth="1" style="40" min="11" max="13"/>
  </cols>
  <sheetData>
    <row r="1" ht="36" customHeight="1" s="40">
      <c r="B1" s="39" t="inlineStr">
        <is>
          <t>PORTFÓLIO DE INVESTIMENTOS | DASHBOARD EXECUTIVO</t>
        </is>
      </c>
    </row>
    <row r="2" ht="19.95" customHeight="1" s="40">
      <c r="B2" s="49" t="inlineStr">
        <is>
          <t>Painel Consolidado de Posição Patrimonial, Rentabilidade e Alocação Estratégica</t>
        </is>
      </c>
    </row>
    <row r="4" ht="19.95" customHeight="1" s="40">
      <c r="B4" s="45" t="inlineStr">
        <is>
          <t>PATRIMÔNIO TOTAL</t>
        </is>
      </c>
      <c r="C4" s="42" t="n"/>
      <c r="D4" s="45" t="inlineStr">
        <is>
          <t>TOTAL INVESTIDO</t>
        </is>
      </c>
      <c r="E4" s="42" t="n"/>
      <c r="F4" s="45" t="inlineStr">
        <is>
          <t>RENDIMENTO TOTAL</t>
        </is>
      </c>
      <c r="G4" s="42" t="n"/>
      <c r="H4" s="45" t="inlineStr">
        <is>
          <t>RENTABILIDADE (%)</t>
        </is>
      </c>
      <c r="I4" s="42" t="n"/>
      <c r="J4" s="45" t="inlineStr">
        <is>
          <t>PROVENTOS RECEBIDOS</t>
        </is>
      </c>
      <c r="K4" s="42" t="n"/>
      <c r="L4" s="45" t="inlineStr">
        <is>
          <t>CDI ATUAL (a.a.)</t>
        </is>
      </c>
      <c r="M4" s="42" t="n"/>
    </row>
    <row r="5" ht="30" customHeight="1" s="40">
      <c r="B5" s="54">
        <f>'Carteira Atual'!#REF!</f>
        <v/>
      </c>
      <c r="C5" s="42" t="n"/>
      <c r="D5" s="55">
        <f>'Carteira Atual'!#REF!</f>
        <v/>
      </c>
      <c r="E5" s="42" t="n"/>
      <c r="F5" s="56">
        <f>'Carteira Atual'!#REF!</f>
        <v/>
      </c>
      <c r="G5" s="42" t="n"/>
      <c r="H5" s="48">
        <f>'Carteira Atual'!#REF!</f>
        <v/>
      </c>
      <c r="I5" s="42" t="n"/>
      <c r="J5" s="57">
        <f>'Carteira Atual'!#REF!</f>
        <v/>
      </c>
      <c r="K5" s="42" t="n"/>
      <c r="L5" s="44">
        <f>Indicadores!B2</f>
        <v/>
      </c>
      <c r="M5" s="42" t="n"/>
    </row>
    <row r="6" ht="18" customHeight="1" s="40">
      <c r="B6" s="41" t="inlineStr">
        <is>
          <t>Posição Bruta Atualizada</t>
        </is>
      </c>
      <c r="C6" s="42" t="n"/>
      <c r="D6" s="41" t="inlineStr">
        <is>
          <t>Custo Base de Aquisição</t>
        </is>
      </c>
      <c r="E6" s="42" t="n"/>
      <c r="F6" s="41" t="inlineStr">
        <is>
          <t>Ganho Líquido + Proventos</t>
        </is>
      </c>
      <c r="G6" s="42" t="n"/>
      <c r="H6" s="41" t="inlineStr">
        <is>
          <t>Retorno Global Ponderado</t>
        </is>
      </c>
      <c r="I6" s="42" t="n"/>
      <c r="J6" s="41" t="inlineStr">
        <is>
          <t>Dividendos, JCP e Cupons</t>
        </is>
      </c>
      <c r="K6" s="42" t="n"/>
      <c r="L6" s="41" t="inlineStr">
        <is>
          <t>Taxa Benchmark</t>
        </is>
      </c>
      <c r="M6" s="42" t="n"/>
    </row>
    <row r="8" ht="24" customHeight="1" s="40">
      <c r="B8" s="51" t="inlineStr">
        <is>
          <t>📊 RESUMO E METAS POR CLASSE DE ATIVO</t>
        </is>
      </c>
    </row>
    <row r="9" ht="22.05" customHeight="1" s="40">
      <c r="B9" s="20" t="inlineStr">
        <is>
          <t>Classe</t>
        </is>
      </c>
      <c r="C9" s="20" t="inlineStr">
        <is>
          <t>Total Aplicado</t>
        </is>
      </c>
      <c r="D9" s="20" t="inlineStr">
        <is>
          <t>Saldo Atual</t>
        </is>
      </c>
      <c r="E9" s="20" t="inlineStr">
        <is>
          <t>Rendimento (R$)</t>
        </is>
      </c>
      <c r="F9" s="20" t="inlineStr">
        <is>
          <t>Rentabilidade</t>
        </is>
      </c>
      <c r="G9" s="20" t="inlineStr">
        <is>
          <t>% Real</t>
        </is>
      </c>
      <c r="H9" s="20" t="inlineStr">
        <is>
          <t>% Meta</t>
        </is>
      </c>
    </row>
    <row r="10" ht="19.05" customHeight="1" s="40">
      <c r="B10" s="18" t="inlineStr">
        <is>
          <t>Renda Fixa</t>
        </is>
      </c>
      <c r="C10" s="58">
        <f>SUMIF('Carteira Atual'!$D$4:$D$39, B10, 'Carteira Atual'!$I$4:$I$39)</f>
        <v/>
      </c>
      <c r="D10" s="58">
        <f>SUMIF('Carteira Atual'!$D$4:$D$39, B10, 'Carteira Atual'!$K$4:$K$39)</f>
        <v/>
      </c>
      <c r="E10" s="58">
        <f>SUMIF('Carteira Atual'!$D$4:$D$39, B10, 'Carteira Atual'!$M$4:$M$39)</f>
        <v/>
      </c>
      <c r="F10" s="13">
        <f>IF(C10&gt;0, E10/C10, 0)</f>
        <v/>
      </c>
      <c r="G10" s="13">
        <f>IF($D$17&gt;0, D10/$D$17, 0)</f>
        <v/>
      </c>
      <c r="H10" s="13" t="n">
        <v>0.35</v>
      </c>
    </row>
    <row r="11" ht="19.05" customHeight="1" s="40">
      <c r="B11" s="21" t="inlineStr">
        <is>
          <t>Exterior</t>
        </is>
      </c>
      <c r="C11" s="59">
        <f>SUMIF('Carteira Atual'!$D$4:$D$39, B11, 'Carteira Atual'!$I$4:$I$39)</f>
        <v/>
      </c>
      <c r="D11" s="59">
        <f>SUMIF('Carteira Atual'!$D$4:$D$39, B11, 'Carteira Atual'!$K$4:$K$39)</f>
        <v/>
      </c>
      <c r="E11" s="59">
        <f>SUMIF('Carteira Atual'!$D$4:$D$39, B11, 'Carteira Atual'!$M$4:$M$39)</f>
        <v/>
      </c>
      <c r="F11" s="14">
        <f>IF(C11&gt;0, E11/C11, 0)</f>
        <v/>
      </c>
      <c r="G11" s="14">
        <f>IF($D$17&gt;0, D11/$D$17, 0)</f>
        <v/>
      </c>
      <c r="H11" s="14" t="n">
        <v>0.25</v>
      </c>
    </row>
    <row r="12" ht="19.05" customHeight="1" s="40">
      <c r="B12" s="18" t="inlineStr">
        <is>
          <t>Renda Variável</t>
        </is>
      </c>
      <c r="C12" s="58">
        <f>SUMIF('Carteira Atual'!$D$4:$D$39, B12, 'Carteira Atual'!$I$4:$I$39)</f>
        <v/>
      </c>
      <c r="D12" s="58">
        <f>SUMIF('Carteira Atual'!$D$4:$D$39, B12, 'Carteira Atual'!$K$4:$K$39)</f>
        <v/>
      </c>
      <c r="E12" s="58">
        <f>SUMIF('Carteira Atual'!$D$4:$D$39, B12, 'Carteira Atual'!$M$4:$M$39)</f>
        <v/>
      </c>
      <c r="F12" s="13">
        <f>IF(C12&gt;0, E12/C12, 0)</f>
        <v/>
      </c>
      <c r="G12" s="13">
        <f>IF($D$17&gt;0, D12/$D$17, 0)</f>
        <v/>
      </c>
      <c r="H12" s="13" t="n">
        <v>0.2</v>
      </c>
    </row>
    <row r="13" ht="19.05" customHeight="1" s="40">
      <c r="B13" s="21" t="inlineStr">
        <is>
          <t>Tesouro Direto</t>
        </is>
      </c>
      <c r="C13" s="59">
        <f>SUMIF('Carteira Atual'!$D$4:$D$39, B13, 'Carteira Atual'!$I$4:$I$39)</f>
        <v/>
      </c>
      <c r="D13" s="59">
        <f>SUMIF('Carteira Atual'!$D$4:$D$39, B13, 'Carteira Atual'!$K$4:$K$39)</f>
        <v/>
      </c>
      <c r="E13" s="59">
        <f>SUMIF('Carteira Atual'!$D$4:$D$39, B13, 'Carteira Atual'!$M$4:$M$39)</f>
        <v/>
      </c>
      <c r="F13" s="14">
        <f>IF(C13&gt;0, E13/C13, 0)</f>
        <v/>
      </c>
      <c r="G13" s="14">
        <f>IF($D$17&gt;0, D13/$D$17, 0)</f>
        <v/>
      </c>
      <c r="H13" s="14" t="n">
        <v>0.1</v>
      </c>
    </row>
    <row r="14" ht="19.05" customHeight="1" s="40">
      <c r="B14" s="18" t="inlineStr">
        <is>
          <t>Cripto</t>
        </is>
      </c>
      <c r="C14" s="58">
        <f>SUMIF('Carteira Atual'!$D$4:$D$39, B14, 'Carteira Atual'!$I$4:$I$39)</f>
        <v/>
      </c>
      <c r="D14" s="58">
        <f>SUMIF('Carteira Atual'!$D$4:$D$39, B14, 'Carteira Atual'!$K$4:$K$39)</f>
        <v/>
      </c>
      <c r="E14" s="58">
        <f>SUMIF('Carteira Atual'!$D$4:$D$39, B14, 'Carteira Atual'!$M$4:$M$39)</f>
        <v/>
      </c>
      <c r="F14" s="13">
        <f>IF(C14&gt;0, E14/C14, 0)</f>
        <v/>
      </c>
      <c r="G14" s="13">
        <f>IF($D$17&gt;0, D14/$D$17, 0)</f>
        <v/>
      </c>
      <c r="H14" s="13" t="n">
        <v>0.05</v>
      </c>
    </row>
    <row r="15" ht="19.05" customHeight="1" s="40">
      <c r="B15" s="21" t="inlineStr">
        <is>
          <t>Caixa</t>
        </is>
      </c>
      <c r="C15" s="59">
        <f>SUMIF('Carteira Atual'!$D$4:$D$39, B15, 'Carteira Atual'!$I$4:$I$39)</f>
        <v/>
      </c>
      <c r="D15" s="59">
        <f>SUMIF('Carteira Atual'!$D$4:$D$39, B15, 'Carteira Atual'!$K$4:$K$39)</f>
        <v/>
      </c>
      <c r="E15" s="59">
        <f>SUMIF('Carteira Atual'!$D$4:$D$39, B15, 'Carteira Atual'!$M$4:$M$39)</f>
        <v/>
      </c>
      <c r="F15" s="14">
        <f>IF(C15&gt;0, E15/C15, 0)</f>
        <v/>
      </c>
      <c r="G15" s="14">
        <f>IF($D$17&gt;0, D15/$D$17, 0)</f>
        <v/>
      </c>
      <c r="H15" s="14" t="n">
        <v>0.03</v>
      </c>
    </row>
    <row r="16" ht="19.05" customHeight="1" s="40">
      <c r="B16" s="18" t="inlineStr">
        <is>
          <t>Moeda</t>
        </is>
      </c>
      <c r="C16" s="58">
        <f>SUMIF('Carteira Atual'!$D$4:$D$39, B16, 'Carteira Atual'!$I$4:$I$39)</f>
        <v/>
      </c>
      <c r="D16" s="58">
        <f>SUMIF('Carteira Atual'!$D$4:$D$39, B16, 'Carteira Atual'!$K$4:$K$39)</f>
        <v/>
      </c>
      <c r="E16" s="58">
        <f>SUMIF('Carteira Atual'!$D$4:$D$39, B16, 'Carteira Atual'!$M$4:$M$39)</f>
        <v/>
      </c>
      <c r="F16" s="13">
        <f>IF(C16&gt;0, E16/C16, 0)</f>
        <v/>
      </c>
      <c r="G16" s="13">
        <f>IF($D$17&gt;0, D16/$D$17, 0)</f>
        <v/>
      </c>
      <c r="H16" s="13" t="n">
        <v>0.02</v>
      </c>
    </row>
    <row r="17" ht="22.05" customHeight="1" s="40">
      <c r="B17" s="22" t="inlineStr">
        <is>
          <t>TOTAL</t>
        </is>
      </c>
      <c r="C17" s="60">
        <f>SUM(C10:C16)</f>
        <v/>
      </c>
      <c r="D17" s="60">
        <f>SUM(D10:D16)</f>
        <v/>
      </c>
      <c r="E17" s="60">
        <f>SUM(E10:E16)</f>
        <v/>
      </c>
      <c r="F17" s="23">
        <f>IF(C17&gt;0, E17/C17, 0)</f>
        <v/>
      </c>
      <c r="G17" s="23">
        <f>SUM(G10:G16)</f>
        <v/>
      </c>
      <c r="H17" s="23">
        <f>SUM(H10:H16)</f>
        <v/>
      </c>
    </row>
    <row r="19" ht="24" customHeight="1" s="40">
      <c r="B19" s="51" t="inlineStr">
        <is>
          <t>🏛️ POSIÇÃO POR INSTITUIÇÃO / CORRETORA</t>
        </is>
      </c>
    </row>
    <row r="20" ht="22.05" customHeight="1" s="40">
      <c r="B20" s="20" t="inlineStr">
        <is>
          <t>Instituição</t>
        </is>
      </c>
      <c r="C20" s="20" t="inlineStr">
        <is>
          <t>Total Aplicado</t>
        </is>
      </c>
      <c r="D20" s="20" t="inlineStr">
        <is>
          <t>Saldo Atual</t>
        </is>
      </c>
      <c r="E20" s="20" t="inlineStr">
        <is>
          <t>% Carteira</t>
        </is>
      </c>
    </row>
    <row r="21" ht="19.05" customHeight="1" s="40">
      <c r="B21" s="21" t="inlineStr">
        <is>
          <t>XP</t>
        </is>
      </c>
      <c r="C21" s="59">
        <f>SUMIF('Carteira Atual'!$C$4:$C$39, B21, 'Carteira Atual'!$I$4:$I$39)</f>
        <v/>
      </c>
      <c r="D21" s="59">
        <f>SUMIF('Carteira Atual'!$C$4:$C$39, B21, 'Carteira Atual'!$K$4:$K$39)</f>
        <v/>
      </c>
      <c r="E21" s="14">
        <f>IF($D$28&gt;0, D21/$D$28, 0)</f>
        <v/>
      </c>
    </row>
    <row r="22" ht="19.05" customHeight="1" s="40">
      <c r="B22" s="18" t="inlineStr">
        <is>
          <t>Avenue</t>
        </is>
      </c>
      <c r="C22" s="58">
        <f>SUMIF('Carteira Atual'!$C$4:$C$39, B22, 'Carteira Atual'!$I$4:$I$39)</f>
        <v/>
      </c>
      <c r="D22" s="58">
        <f>SUMIF('Carteira Atual'!$C$4:$C$39, B22, 'Carteira Atual'!$K$4:$K$39)</f>
        <v/>
      </c>
      <c r="E22" s="13">
        <f>IF($D$28&gt;0, D22/$D$28, 0)</f>
        <v/>
      </c>
    </row>
    <row r="23" ht="19.05" customHeight="1" s="40">
      <c r="B23" s="21" t="inlineStr">
        <is>
          <t>C6</t>
        </is>
      </c>
      <c r="C23" s="59">
        <f>SUMIF('Carteira Atual'!$C$4:$C$39, B23, 'Carteira Atual'!$I$4:$I$39)</f>
        <v/>
      </c>
      <c r="D23" s="59">
        <f>SUMIF('Carteira Atual'!$C$4:$C$39, B23, 'Carteira Atual'!$K$4:$K$39)</f>
        <v/>
      </c>
      <c r="E23" s="14">
        <f>IF($D$28&gt;0, D23/$D$28, 0)</f>
        <v/>
      </c>
    </row>
    <row r="24" ht="19.05" customHeight="1" s="40">
      <c r="B24" s="18" t="inlineStr">
        <is>
          <t>Clear</t>
        </is>
      </c>
      <c r="C24" s="58">
        <f>SUMIF('Carteira Atual'!$C$4:$C$39, B24, 'Carteira Atual'!$I$4:$I$39)</f>
        <v/>
      </c>
      <c r="D24" s="58">
        <f>SUMIF('Carteira Atual'!$C$4:$C$39, B24, 'Carteira Atual'!$K$4:$K$39)</f>
        <v/>
      </c>
      <c r="E24" s="13">
        <f>IF($D$28&gt;0, D24/$D$28, 0)</f>
        <v/>
      </c>
    </row>
    <row r="25" ht="19.05" customHeight="1" s="40">
      <c r="B25" s="21" t="inlineStr">
        <is>
          <t>Binance</t>
        </is>
      </c>
      <c r="C25" s="59">
        <f>SUMIF('Carteira Atual'!$C$4:$C$39, B25, 'Carteira Atual'!$I$4:$I$39)</f>
        <v/>
      </c>
      <c r="D25" s="59">
        <f>SUMIF('Carteira Atual'!$C$4:$C$39, B25, 'Carteira Atual'!$K$4:$K$39)</f>
        <v/>
      </c>
      <c r="E25" s="14">
        <f>IF($D$28&gt;0, D25/$D$28, 0)</f>
        <v/>
      </c>
    </row>
    <row r="26" ht="19.05" customHeight="1" s="40">
      <c r="B26" s="18" t="inlineStr">
        <is>
          <t>Wise</t>
        </is>
      </c>
      <c r="C26" s="58">
        <f>SUMIF('Carteira Atual'!$C$4:$C$39, B26, 'Carteira Atual'!$I$4:$I$39)</f>
        <v/>
      </c>
      <c r="D26" s="58">
        <f>SUMIF('Carteira Atual'!$C$4:$C$39, B26, 'Carteira Atual'!$K$4:$K$39)</f>
        <v/>
      </c>
      <c r="E26" s="13">
        <f>IF($D$28&gt;0, D26/$D$28, 0)</f>
        <v/>
      </c>
    </row>
    <row r="27" ht="19.05" customHeight="1" s="40">
      <c r="B27" s="21" t="inlineStr">
        <is>
          <t>Mercado Pago</t>
        </is>
      </c>
      <c r="C27" s="59">
        <f>SUMIF('Carteira Atual'!$C$4:$C$39, B27, 'Carteira Atual'!$I$4:$I$39)</f>
        <v/>
      </c>
      <c r="D27" s="59">
        <f>SUMIF('Carteira Atual'!$C$4:$C$39, B27, 'Carteira Atual'!$K$4:$K$39)</f>
        <v/>
      </c>
      <c r="E27" s="14">
        <f>IF($D$28&gt;0, D27/$D$28, 0)</f>
        <v/>
      </c>
    </row>
    <row r="28" ht="22.05" customHeight="1" s="40">
      <c r="B28" s="22" t="inlineStr">
        <is>
          <t>TOTAL</t>
        </is>
      </c>
      <c r="C28" s="60">
        <f>SUM(C21:C27)</f>
        <v/>
      </c>
      <c r="D28" s="60">
        <f>SUM(D21:D27)</f>
        <v/>
      </c>
      <c r="E28" s="23">
        <f>SUM(E21:E27)</f>
        <v/>
      </c>
    </row>
    <row r="30" ht="24" customHeight="1" s="40">
      <c r="B30" s="51" t="inlineStr">
        <is>
          <t>🌎 EXPOSIÇÃO CAMBIAL (MOEDAS)</t>
        </is>
      </c>
    </row>
    <row r="31" ht="22.05" customHeight="1" s="40">
      <c r="B31" s="20" t="inlineStr">
        <is>
          <t>Moeda</t>
        </is>
      </c>
      <c r="C31" s="20" t="inlineStr">
        <is>
          <t>Cotação (R$)</t>
        </is>
      </c>
      <c r="D31" s="20" t="inlineStr">
        <is>
          <t>Saldo em R$</t>
        </is>
      </c>
      <c r="E31" s="20" t="inlineStr">
        <is>
          <t>% Carteira</t>
        </is>
      </c>
    </row>
    <row r="32" ht="19.05" customHeight="1" s="40">
      <c r="B32" s="18" t="inlineStr">
        <is>
          <t>BRL (Real)</t>
        </is>
      </c>
      <c r="C32" s="58" t="inlineStr">
        <is>
          <t>1.00</t>
        </is>
      </c>
      <c r="D32" s="58">
        <f>SUMIF('Carteira Atual'!$F$4:$F$39, "BRL", 'Carteira Atual'!$K$4:$K$39)</f>
        <v/>
      </c>
      <c r="E32" s="13">
        <f>IF($D$35&gt;0, D32/$D$35, 0)</f>
        <v/>
      </c>
    </row>
    <row r="33" ht="19.05" customHeight="1" s="40">
      <c r="B33" s="21" t="inlineStr">
        <is>
          <t>USD (Dólar)</t>
        </is>
      </c>
      <c r="C33" s="59">
        <f>Indicadores!E2</f>
        <v/>
      </c>
      <c r="D33" s="59">
        <f>SUMIF('Carteira Atual'!$F$4:$F$39, "USD", 'Carteira Atual'!$K$4:$K$39)</f>
        <v/>
      </c>
      <c r="E33" s="14">
        <f>IF($D$35&gt;0, D33/$D$35, 0)</f>
        <v/>
      </c>
    </row>
    <row r="34" ht="19.05" customHeight="1" s="40">
      <c r="B34" s="18" t="inlineStr">
        <is>
          <t>GBP (Libra)</t>
        </is>
      </c>
      <c r="C34" s="58">
        <f>Indicadores!F2</f>
        <v/>
      </c>
      <c r="D34" s="58">
        <f>SUMIF('Carteira Atual'!$F$4:$F$39, "GBP", 'Carteira Atual'!$K$4:$K$39)</f>
        <v/>
      </c>
      <c r="E34" s="13">
        <f>IF($D$35&gt;0, D34/$D$35, 0)</f>
        <v/>
      </c>
    </row>
    <row r="35" ht="22.05" customHeight="1" s="40">
      <c r="B35" s="22" t="inlineStr">
        <is>
          <t>TOTAL</t>
        </is>
      </c>
      <c r="C35" s="24" t="inlineStr">
        <is>
          <t>-</t>
        </is>
      </c>
      <c r="D35" s="60">
        <f>SUM(D32:D34)</f>
        <v/>
      </c>
      <c r="E35" s="23">
        <f>SUM(E32:E34)</f>
        <v/>
      </c>
    </row>
  </sheetData>
  <mergeCells count="23">
    <mergeCell ref="F4:G4"/>
    <mergeCell ref="B2:M2"/>
    <mergeCell ref="J5:K5"/>
    <mergeCell ref="B30:E30"/>
    <mergeCell ref="F6:G6"/>
    <mergeCell ref="H4:I4"/>
    <mergeCell ref="B1:M1"/>
    <mergeCell ref="D6:E6"/>
    <mergeCell ref="H6:I6"/>
    <mergeCell ref="J6:K6"/>
    <mergeCell ref="F5:G5"/>
    <mergeCell ref="L5:M5"/>
    <mergeCell ref="J4:K4"/>
    <mergeCell ref="L4:M4"/>
    <mergeCell ref="D4:E4"/>
    <mergeCell ref="B8:H8"/>
    <mergeCell ref="B6:C6"/>
    <mergeCell ref="L6:M6"/>
    <mergeCell ref="B5:C5"/>
    <mergeCell ref="D5:E5"/>
    <mergeCell ref="H5:I5"/>
    <mergeCell ref="B19:E19"/>
    <mergeCell ref="B4:C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topLeftCell="A3" workbookViewId="0">
      <selection activeCell="A3" sqref="A3"/>
    </sheetView>
  </sheetViews>
  <sheetFormatPr baseColWidth="8" defaultRowHeight="14.4"/>
  <cols>
    <col width="16" customWidth="1" style="40" min="1" max="1"/>
    <col width="30" customWidth="1" style="40" min="2" max="2"/>
    <col width="16" customWidth="1" style="40" min="3" max="3"/>
    <col width="18" customWidth="1" style="40" min="4" max="4"/>
    <col width="20" customWidth="1" style="40" min="5" max="5"/>
    <col width="10" customWidth="1" style="40" min="6" max="6"/>
    <col width="14" customWidth="1" style="40" min="7" max="7"/>
    <col width="22" customWidth="1" style="40" min="8" max="8"/>
    <col width="20" customWidth="1" style="40" min="9" max="9"/>
    <col width="22" customWidth="1" style="40" min="10" max="10"/>
    <col width="20" customWidth="1" style="40" min="11" max="11"/>
    <col width="16" customWidth="1" style="40" min="12" max="12"/>
    <col width="18" customWidth="1" style="40" min="13" max="14"/>
    <col width="14" customWidth="1" style="40" min="15" max="15"/>
    <col width="12" customWidth="1" style="40" min="16" max="16"/>
    <col width="14" customWidth="1" style="40" min="17" max="17"/>
    <col width="22" customWidth="1" style="40" min="18" max="18"/>
  </cols>
  <sheetData>
    <row r="1" ht="36" customHeight="1" s="40">
      <c r="A1" s="53" t="inlineStr">
        <is>
          <t>CARTEIRA ATUAL &amp; TABELA DE LANÇAMENTOS DE INVESTIMENTOS</t>
        </is>
      </c>
    </row>
    <row r="2" ht="24" customHeight="1" s="40">
      <c r="A2" s="52" t="inlineStr">
        <is>
          <t>💡 Instrução: Digite o 'Valor Aplicado Original' (Col H), 'Saldo Atual Original' (Col J) e 'Proventos' (Col L). As demais colunas são calculadas 100% no automático!</t>
        </is>
      </c>
    </row>
    <row r="3" ht="28.05" customHeight="1" s="40">
      <c r="A3" s="4" t="inlineStr">
        <is>
          <t>Código</t>
        </is>
      </c>
      <c r="B3" s="4" t="inlineStr">
        <is>
          <t>Ativo</t>
        </is>
      </c>
      <c r="C3" s="4" t="inlineStr">
        <is>
          <t>Instituição</t>
        </is>
      </c>
      <c r="D3" s="4" t="inlineStr">
        <is>
          <t>Classe</t>
        </is>
      </c>
      <c r="E3" s="4" t="inlineStr">
        <is>
          <t>Subclasse</t>
        </is>
      </c>
      <c r="F3" s="4" t="inlineStr">
        <is>
          <t>Moeda</t>
        </is>
      </c>
      <c r="G3" s="4" t="inlineStr">
        <is>
          <t>Câmbio (R$)</t>
        </is>
      </c>
      <c r="H3" s="11" t="inlineStr">
        <is>
          <t>Valor Aplicado Original</t>
        </is>
      </c>
      <c r="I3" s="4" t="inlineStr">
        <is>
          <t>Valor Aplicado (R$)</t>
        </is>
      </c>
      <c r="J3" s="11" t="inlineStr">
        <is>
          <t>Saldo Atual Original</t>
        </is>
      </c>
      <c r="K3" s="4" t="inlineStr">
        <is>
          <t>Saldo Atual (R$)</t>
        </is>
      </c>
      <c r="L3" s="11" t="inlineStr">
        <is>
          <t>Proventos (R$)</t>
        </is>
      </c>
      <c r="M3" s="4" t="inlineStr">
        <is>
          <t>Rendimento (R$)</t>
        </is>
      </c>
      <c r="N3" s="4" t="inlineStr">
        <is>
          <t>Rentabilidade (%)</t>
        </is>
      </c>
      <c r="O3" s="4" t="inlineStr">
        <is>
          <t>% da Carteira</t>
        </is>
      </c>
      <c r="P3" s="11" t="inlineStr">
        <is>
          <t>Meta (%)</t>
        </is>
      </c>
      <c r="Q3" s="4" t="inlineStr">
        <is>
          <t>Desvio vs Meta</t>
        </is>
      </c>
      <c r="R3" s="4" t="inlineStr">
        <is>
          <t>Observação / Carteira</t>
        </is>
      </c>
    </row>
    <row r="4" ht="19.95" customHeight="1" s="40">
      <c r="A4" s="5" t="inlineStr">
        <is>
          <t>MP-CONTA</t>
        </is>
      </c>
      <c r="B4" s="6">
        <f>IFERROR(VLOOKUP(A4, Cadastro!$B$2:$G$38, 5, FALSE), "")</f>
        <v/>
      </c>
      <c r="C4" s="6">
        <f>IFERROR(VLOOKUP(A4, Cadastro!$B$2:$C$38, 2, FALSE), "")</f>
        <v/>
      </c>
      <c r="D4" s="6">
        <f>IFERROR(VLOOKUP(A4, Cadastro!$B$2:$D$38, 3, FALSE), "")</f>
        <v/>
      </c>
      <c r="E4" s="6">
        <f>IFERROR(VLOOKUP(A4, Cadastro!$B$2:$E$38, 4, FALSE), "")</f>
        <v/>
      </c>
      <c r="F4" s="5">
        <f>IFERROR(VLOOKUP(A4, Cadastro!$B$2:$J$38, 9, FALSE), "BRL")</f>
        <v/>
      </c>
      <c r="G4" s="61">
        <f>IF(F4="USD", Indicadores!$E$2, IF(F4="GBP", Indicadores!$F$2, 1))</f>
        <v/>
      </c>
      <c r="H4" s="12" t="n">
        <v>1500</v>
      </c>
      <c r="I4" s="58">
        <f>H4*G4</f>
        <v/>
      </c>
      <c r="J4" s="12" t="n">
        <v>1665</v>
      </c>
      <c r="K4" s="58">
        <f>J4*G4</f>
        <v/>
      </c>
      <c r="L4" s="62" t="n">
        <v>0</v>
      </c>
      <c r="M4" s="58">
        <f>(K4-I4)+L4</f>
        <v/>
      </c>
      <c r="N4" s="13">
        <f>IF(I4&gt;0, M4/I4, 0)</f>
        <v/>
      </c>
      <c r="O4" s="13">
        <f>IF(#REF!&gt;0, K4/#REF!, 0)</f>
        <v/>
      </c>
      <c r="P4" s="13" t="n">
        <v>0.03</v>
      </c>
      <c r="Q4" s="13">
        <f>O4-P4</f>
        <v/>
      </c>
      <c r="R4" s="6" t="inlineStr">
        <is>
          <t>Carro</t>
        </is>
      </c>
    </row>
    <row r="5" ht="19.95" customHeight="1" s="40">
      <c r="A5" s="8" t="inlineStr">
        <is>
          <t>CLR-VALE3</t>
        </is>
      </c>
      <c r="B5" s="9">
        <f>IFERROR(VLOOKUP(A5, Cadastro!$B$2:$G$38, 5, FALSE), "")</f>
        <v/>
      </c>
      <c r="C5" s="9">
        <f>IFERROR(VLOOKUP(A5, Cadastro!$B$2:$C$38, 2, FALSE), "")</f>
        <v/>
      </c>
      <c r="D5" s="9">
        <f>IFERROR(VLOOKUP(A5, Cadastro!$B$2:$D$38, 3, FALSE), "")</f>
        <v/>
      </c>
      <c r="E5" s="9">
        <f>IFERROR(VLOOKUP(A5, Cadastro!$B$2:$E$38, 4, FALSE), "")</f>
        <v/>
      </c>
      <c r="F5" s="8">
        <f>IFERROR(VLOOKUP(A5, Cadastro!$B$2:$J$38, 9, FALSE), "BRL")</f>
        <v/>
      </c>
      <c r="G5" s="63">
        <f>IF(F5="USD", Indicadores!$E$2, IF(F5="GBP", Indicadores!$F$2, 1))</f>
        <v/>
      </c>
      <c r="H5" s="12" t="n">
        <v>12000</v>
      </c>
      <c r="I5" s="59">
        <f>H5*G5</f>
        <v/>
      </c>
      <c r="J5" s="12" t="n">
        <v>14160</v>
      </c>
      <c r="K5" s="59">
        <f>J5*G5</f>
        <v/>
      </c>
      <c r="L5" s="62" t="n">
        <v>650</v>
      </c>
      <c r="M5" s="59">
        <f>(K5-I5)+L5</f>
        <v/>
      </c>
      <c r="N5" s="14">
        <f>IF(I5&gt;0, M5/I5, 0)</f>
        <v/>
      </c>
      <c r="O5" s="14">
        <f>IF(#REF!&gt;0, K5/#REF!, 0)</f>
        <v/>
      </c>
      <c r="P5" s="14" t="n">
        <v>0.03</v>
      </c>
      <c r="Q5" s="14">
        <f>O5-P5</f>
        <v/>
      </c>
      <c r="R5" s="9" t="inlineStr">
        <is>
          <t>Poupança</t>
        </is>
      </c>
    </row>
    <row r="6" ht="19.95" customHeight="1" s="40">
      <c r="A6" s="5" t="inlineStr">
        <is>
          <t>CLR-CSMG3</t>
        </is>
      </c>
      <c r="B6" s="6">
        <f>IFERROR(VLOOKUP(A6, Cadastro!$B$2:$G$38, 5, FALSE), "")</f>
        <v/>
      </c>
      <c r="C6" s="6">
        <f>IFERROR(VLOOKUP(A6, Cadastro!$B$2:$C$38, 2, FALSE), "")</f>
        <v/>
      </c>
      <c r="D6" s="6">
        <f>IFERROR(VLOOKUP(A6, Cadastro!$B$2:$D$38, 3, FALSE), "")</f>
        <v/>
      </c>
      <c r="E6" s="6">
        <f>IFERROR(VLOOKUP(A6, Cadastro!$B$2:$E$38, 4, FALSE), "")</f>
        <v/>
      </c>
      <c r="F6" s="5">
        <f>IFERROR(VLOOKUP(A6, Cadastro!$B$2:$J$38, 9, FALSE), "BRL")</f>
        <v/>
      </c>
      <c r="G6" s="61">
        <f>IF(F6="USD", Indicadores!$E$2, IF(F6="GBP", Indicadores!$F$2, 1))</f>
        <v/>
      </c>
      <c r="H6" s="12" t="n">
        <v>8000</v>
      </c>
      <c r="I6" s="58">
        <f>H6*G6</f>
        <v/>
      </c>
      <c r="J6" s="12" t="n">
        <v>8880</v>
      </c>
      <c r="K6" s="58">
        <f>J6*G6</f>
        <v/>
      </c>
      <c r="L6" s="62" t="n">
        <v>0</v>
      </c>
      <c r="M6" s="58">
        <f>(K6-I6)+L6</f>
        <v/>
      </c>
      <c r="N6" s="13">
        <f>IF(I6&gt;0, M6/I6, 0)</f>
        <v/>
      </c>
      <c r="O6" s="13">
        <f>IF(#REF!&gt;0, K6/#REF!, 0)</f>
        <v/>
      </c>
      <c r="P6" s="13" t="n">
        <v>0.03</v>
      </c>
      <c r="Q6" s="13">
        <f>O6-P6</f>
        <v/>
      </c>
      <c r="R6" s="6" t="inlineStr">
        <is>
          <t>Poupança</t>
        </is>
      </c>
    </row>
    <row r="7" ht="19.95" customHeight="1" s="40">
      <c r="A7" s="8" t="inlineStr">
        <is>
          <t>CLR-POMO4</t>
        </is>
      </c>
      <c r="B7" s="9">
        <f>IFERROR(VLOOKUP(A7, Cadastro!$B$2:$G$38, 5, FALSE), "")</f>
        <v/>
      </c>
      <c r="C7" s="9">
        <f>IFERROR(VLOOKUP(A7, Cadastro!$B$2:$C$38, 2, FALSE), "")</f>
        <v/>
      </c>
      <c r="D7" s="9">
        <f>IFERROR(VLOOKUP(A7, Cadastro!$B$2:$D$38, 3, FALSE), "")</f>
        <v/>
      </c>
      <c r="E7" s="9">
        <f>IFERROR(VLOOKUP(A7, Cadastro!$B$2:$E$38, 4, FALSE), "")</f>
        <v/>
      </c>
      <c r="F7" s="8">
        <f>IFERROR(VLOOKUP(A7, Cadastro!$B$2:$J$38, 9, FALSE), "BRL")</f>
        <v/>
      </c>
      <c r="G7" s="63">
        <f>IF(F7="USD", Indicadores!$E$2, IF(F7="GBP", Indicadores!$F$2, 1))</f>
        <v/>
      </c>
      <c r="H7" s="12" t="n">
        <v>6000</v>
      </c>
      <c r="I7" s="59">
        <f>H7*G7</f>
        <v/>
      </c>
      <c r="J7" s="12" t="n">
        <v>6660</v>
      </c>
      <c r="K7" s="59">
        <f>J7*G7</f>
        <v/>
      </c>
      <c r="L7" s="62" t="n">
        <v>0</v>
      </c>
      <c r="M7" s="59">
        <f>(K7-I7)+L7</f>
        <v/>
      </c>
      <c r="N7" s="14">
        <f>IF(I7&gt;0, M7/I7, 0)</f>
        <v/>
      </c>
      <c r="O7" s="14">
        <f>IF(#REF!&gt;0, K7/#REF!, 0)</f>
        <v/>
      </c>
      <c r="P7" s="14" t="n">
        <v>0.03</v>
      </c>
      <c r="Q7" s="14">
        <f>O7-P7</f>
        <v/>
      </c>
      <c r="R7" s="9" t="inlineStr">
        <is>
          <t>Poupança</t>
        </is>
      </c>
    </row>
    <row r="8" ht="19.95" customHeight="1" s="40">
      <c r="A8" s="5" t="inlineStr">
        <is>
          <t>CLR-ORVR3</t>
        </is>
      </c>
      <c r="B8" s="6">
        <f>IFERROR(VLOOKUP(A8, Cadastro!$B$2:$G$38, 5, FALSE), "")</f>
        <v/>
      </c>
      <c r="C8" s="6">
        <f>IFERROR(VLOOKUP(A8, Cadastro!$B$2:$C$38, 2, FALSE), "")</f>
        <v/>
      </c>
      <c r="D8" s="6">
        <f>IFERROR(VLOOKUP(A8, Cadastro!$B$2:$D$38, 3, FALSE), "")</f>
        <v/>
      </c>
      <c r="E8" s="6">
        <f>IFERROR(VLOOKUP(A8, Cadastro!$B$2:$E$38, 4, FALSE), "")</f>
        <v/>
      </c>
      <c r="F8" s="5">
        <f>IFERROR(VLOOKUP(A8, Cadastro!$B$2:$J$38, 9, FALSE), "BRL")</f>
        <v/>
      </c>
      <c r="G8" s="61">
        <f>IF(F8="USD", Indicadores!$E$2, IF(F8="GBP", Indicadores!$F$2, 1))</f>
        <v/>
      </c>
      <c r="H8" s="12" t="n">
        <v>7000</v>
      </c>
      <c r="I8" s="58">
        <f>H8*G8</f>
        <v/>
      </c>
      <c r="J8" s="12" t="n">
        <v>7770</v>
      </c>
      <c r="K8" s="58">
        <f>J8*G8</f>
        <v/>
      </c>
      <c r="L8" s="62" t="n">
        <v>0</v>
      </c>
      <c r="M8" s="58">
        <f>(K8-I8)+L8</f>
        <v/>
      </c>
      <c r="N8" s="13">
        <f>IF(I8&gt;0, M8/I8, 0)</f>
        <v/>
      </c>
      <c r="O8" s="13">
        <f>IF(#REF!&gt;0, K8/#REF!, 0)</f>
        <v/>
      </c>
      <c r="P8" s="13" t="n">
        <v>0.03</v>
      </c>
      <c r="Q8" s="13">
        <f>O8-P8</f>
        <v/>
      </c>
      <c r="R8" s="6" t="inlineStr">
        <is>
          <t>Poupança</t>
        </is>
      </c>
    </row>
    <row r="9" ht="19.95" customHeight="1" s="40">
      <c r="A9" s="8" t="inlineStr">
        <is>
          <t>CLR-GOLD11</t>
        </is>
      </c>
      <c r="B9" s="9">
        <f>IFERROR(VLOOKUP(A9, Cadastro!$B$2:$G$38, 5, FALSE), "")</f>
        <v/>
      </c>
      <c r="C9" s="9">
        <f>IFERROR(VLOOKUP(A9, Cadastro!$B$2:$C$38, 2, FALSE), "")</f>
        <v/>
      </c>
      <c r="D9" s="9">
        <f>IFERROR(VLOOKUP(A9, Cadastro!$B$2:$D$38, 3, FALSE), "")</f>
        <v/>
      </c>
      <c r="E9" s="9">
        <f>IFERROR(VLOOKUP(A9, Cadastro!$B$2:$E$38, 4, FALSE), "")</f>
        <v/>
      </c>
      <c r="F9" s="8">
        <f>IFERROR(VLOOKUP(A9, Cadastro!$B$2:$J$38, 9, FALSE), "BRL")</f>
        <v/>
      </c>
      <c r="G9" s="63">
        <f>IF(F9="USD", Indicadores!$E$2, IF(F9="GBP", Indicadores!$F$2, 1))</f>
        <v/>
      </c>
      <c r="H9" s="12" t="n">
        <v>5000</v>
      </c>
      <c r="I9" s="59">
        <f>H9*G9</f>
        <v/>
      </c>
      <c r="J9" s="12" t="n">
        <v>5550</v>
      </c>
      <c r="K9" s="59">
        <f>J9*G9</f>
        <v/>
      </c>
      <c r="L9" s="62" t="n">
        <v>0</v>
      </c>
      <c r="M9" s="59">
        <f>(K9-I9)+L9</f>
        <v/>
      </c>
      <c r="N9" s="14">
        <f>IF(I9&gt;0, M9/I9, 0)</f>
        <v/>
      </c>
      <c r="O9" s="14">
        <f>IF(#REF!&gt;0, K9/#REF!, 0)</f>
        <v/>
      </c>
      <c r="P9" s="14" t="n">
        <v>0.03</v>
      </c>
      <c r="Q9" s="14">
        <f>O9-P9</f>
        <v/>
      </c>
      <c r="R9" s="9" t="inlineStr">
        <is>
          <t>Poupança</t>
        </is>
      </c>
    </row>
    <row r="10" ht="19.95" customHeight="1" s="40">
      <c r="A10" s="5" t="inlineStr">
        <is>
          <t>XP-CDB0427</t>
        </is>
      </c>
      <c r="B10" s="6">
        <f>IFERROR(VLOOKUP(A10, Cadastro!$B$2:$G$38, 5, FALSE), "")</f>
        <v/>
      </c>
      <c r="C10" s="6">
        <f>IFERROR(VLOOKUP(A10, Cadastro!$B$2:$C$38, 2, FALSE), "")</f>
        <v/>
      </c>
      <c r="D10" s="6">
        <f>IFERROR(VLOOKUP(A10, Cadastro!$B$2:$D$38, 3, FALSE), "")</f>
        <v/>
      </c>
      <c r="E10" s="6">
        <f>IFERROR(VLOOKUP(A10, Cadastro!$B$2:$E$38, 4, FALSE), "")</f>
        <v/>
      </c>
      <c r="F10" s="5">
        <f>IFERROR(VLOOKUP(A10, Cadastro!$B$2:$J$38, 9, FALSE), "BRL")</f>
        <v/>
      </c>
      <c r="G10" s="61">
        <f>IF(F10="USD", Indicadores!$E$2, IF(F10="GBP", Indicadores!$F$2, 1))</f>
        <v/>
      </c>
      <c r="H10" s="12" t="n">
        <v>40000</v>
      </c>
      <c r="I10" s="58">
        <f>H10*G10</f>
        <v/>
      </c>
      <c r="J10" s="12" t="n">
        <v>45200</v>
      </c>
      <c r="K10" s="58">
        <f>J10*G10</f>
        <v/>
      </c>
      <c r="L10" s="62" t="n">
        <v>0</v>
      </c>
      <c r="M10" s="58">
        <f>(K10-I10)+L10</f>
        <v/>
      </c>
      <c r="N10" s="13">
        <f>IF(I10&gt;0, M10/I10, 0)</f>
        <v/>
      </c>
      <c r="O10" s="13">
        <f>IF(#REF!&gt;0, K10/#REF!, 0)</f>
        <v/>
      </c>
      <c r="P10" s="13" t="n">
        <v>0.03</v>
      </c>
      <c r="Q10" s="13">
        <f>O10-P10</f>
        <v/>
      </c>
      <c r="R10" s="6" t="inlineStr">
        <is>
          <t>Poupança</t>
        </is>
      </c>
    </row>
    <row r="11" ht="19.95" customHeight="1" s="40">
      <c r="A11" s="8" t="inlineStr">
        <is>
          <t>XP-DEB2034</t>
        </is>
      </c>
      <c r="B11" s="9">
        <f>IFERROR(VLOOKUP(A11, Cadastro!$B$2:$G$38, 5, FALSE), "")</f>
        <v/>
      </c>
      <c r="C11" s="9">
        <f>IFERROR(VLOOKUP(A11, Cadastro!$B$2:$C$38, 2, FALSE), "")</f>
        <v/>
      </c>
      <c r="D11" s="9">
        <f>IFERROR(VLOOKUP(A11, Cadastro!$B$2:$D$38, 3, FALSE), "")</f>
        <v/>
      </c>
      <c r="E11" s="9">
        <f>IFERROR(VLOOKUP(A11, Cadastro!$B$2:$E$38, 4, FALSE), "")</f>
        <v/>
      </c>
      <c r="F11" s="8">
        <f>IFERROR(VLOOKUP(A11, Cadastro!$B$2:$J$38, 9, FALSE), "BRL")</f>
        <v/>
      </c>
      <c r="G11" s="63">
        <f>IF(F11="USD", Indicadores!$E$2, IF(F11="GBP", Indicadores!$F$2, 1))</f>
        <v/>
      </c>
      <c r="H11" s="12" t="n">
        <v>25000</v>
      </c>
      <c r="I11" s="59">
        <f>H11*G11</f>
        <v/>
      </c>
      <c r="J11" s="12" t="n">
        <v>27750</v>
      </c>
      <c r="K11" s="59">
        <f>J11*G11</f>
        <v/>
      </c>
      <c r="L11" s="62" t="n">
        <v>0</v>
      </c>
      <c r="M11" s="59">
        <f>(K11-I11)+L11</f>
        <v/>
      </c>
      <c r="N11" s="14">
        <f>IF(I11&gt;0, M11/I11, 0)</f>
        <v/>
      </c>
      <c r="O11" s="14">
        <f>IF(#REF!&gt;0, K11/#REF!, 0)</f>
        <v/>
      </c>
      <c r="P11" s="14" t="n">
        <v>0.03</v>
      </c>
      <c r="Q11" s="14">
        <f>O11-P11</f>
        <v/>
      </c>
      <c r="R11" s="9" t="inlineStr">
        <is>
          <t>Poupança</t>
        </is>
      </c>
    </row>
    <row r="12" ht="19.95" customHeight="1" s="40">
      <c r="A12" s="5" t="inlineStr">
        <is>
          <t>XP-IPCA2032</t>
        </is>
      </c>
      <c r="B12" s="6">
        <f>IFERROR(VLOOKUP(A12, Cadastro!$B$2:$G$38, 5, FALSE), "")</f>
        <v/>
      </c>
      <c r="C12" s="6">
        <f>IFERROR(VLOOKUP(A12, Cadastro!$B$2:$C$38, 2, FALSE), "")</f>
        <v/>
      </c>
      <c r="D12" s="6">
        <f>IFERROR(VLOOKUP(A12, Cadastro!$B$2:$D$38, 3, FALSE), "")</f>
        <v/>
      </c>
      <c r="E12" s="6">
        <f>IFERROR(VLOOKUP(A12, Cadastro!$B$2:$E$38, 4, FALSE), "")</f>
        <v/>
      </c>
      <c r="F12" s="5">
        <f>IFERROR(VLOOKUP(A12, Cadastro!$B$2:$J$38, 9, FALSE), "BRL")</f>
        <v/>
      </c>
      <c r="G12" s="61">
        <f>IF(F12="USD", Indicadores!$E$2, IF(F12="GBP", Indicadores!$F$2, 1))</f>
        <v/>
      </c>
      <c r="H12" s="12" t="n">
        <v>15000</v>
      </c>
      <c r="I12" s="58">
        <f>H12*G12</f>
        <v/>
      </c>
      <c r="J12" s="12" t="n">
        <v>16650</v>
      </c>
      <c r="K12" s="58">
        <f>J12*G12</f>
        <v/>
      </c>
      <c r="L12" s="62" t="n">
        <v>0</v>
      </c>
      <c r="M12" s="58">
        <f>(K12-I12)+L12</f>
        <v/>
      </c>
      <c r="N12" s="13">
        <f>IF(I12&gt;0, M12/I12, 0)</f>
        <v/>
      </c>
      <c r="O12" s="13">
        <f>IF(#REF!&gt;0, K12/#REF!, 0)</f>
        <v/>
      </c>
      <c r="P12" s="13" t="n">
        <v>0.03</v>
      </c>
      <c r="Q12" s="13">
        <f>O12-P12</f>
        <v/>
      </c>
      <c r="R12" s="6" t="inlineStr">
        <is>
          <t>Poupança</t>
        </is>
      </c>
    </row>
    <row r="13" ht="19.95" customHeight="1" s="40">
      <c r="A13" s="8" t="inlineStr">
        <is>
          <t>XP-IPCA2035</t>
        </is>
      </c>
      <c r="B13" s="9">
        <f>IFERROR(VLOOKUP(A13, Cadastro!$B$2:$G$38, 5, FALSE), "")</f>
        <v/>
      </c>
      <c r="C13" s="9">
        <f>IFERROR(VLOOKUP(A13, Cadastro!$B$2:$C$38, 2, FALSE), "")</f>
        <v/>
      </c>
      <c r="D13" s="9">
        <f>IFERROR(VLOOKUP(A13, Cadastro!$B$2:$D$38, 3, FALSE), "")</f>
        <v/>
      </c>
      <c r="E13" s="9">
        <f>IFERROR(VLOOKUP(A13, Cadastro!$B$2:$E$38, 4, FALSE), "")</f>
        <v/>
      </c>
      <c r="F13" s="8">
        <f>IFERROR(VLOOKUP(A13, Cadastro!$B$2:$J$38, 9, FALSE), "BRL")</f>
        <v/>
      </c>
      <c r="G13" s="63">
        <f>IF(F13="USD", Indicadores!$E$2, IF(F13="GBP", Indicadores!$F$2, 1))</f>
        <v/>
      </c>
      <c r="H13" s="12" t="n">
        <v>10000</v>
      </c>
      <c r="I13" s="59">
        <f>H13*G13</f>
        <v/>
      </c>
      <c r="J13" s="12" t="n">
        <v>11100</v>
      </c>
      <c r="K13" s="59">
        <f>J13*G13</f>
        <v/>
      </c>
      <c r="L13" s="62" t="n">
        <v>0</v>
      </c>
      <c r="M13" s="59">
        <f>(K13-I13)+L13</f>
        <v/>
      </c>
      <c r="N13" s="14">
        <f>IF(I13&gt;0, M13/I13, 0)</f>
        <v/>
      </c>
      <c r="O13" s="14">
        <f>IF(#REF!&gt;0, K13/#REF!, 0)</f>
        <v/>
      </c>
      <c r="P13" s="14" t="n">
        <v>0.03</v>
      </c>
      <c r="Q13" s="14">
        <f>O13-P13</f>
        <v/>
      </c>
      <c r="R13" s="9" t="inlineStr">
        <is>
          <t>Poupança</t>
        </is>
      </c>
    </row>
    <row r="14" ht="19.95" customHeight="1" s="40">
      <c r="A14" s="5" t="inlineStr">
        <is>
          <t>XP-IPCA2026</t>
        </is>
      </c>
      <c r="B14" s="6">
        <f>IFERROR(VLOOKUP(A14, Cadastro!$B$2:$G$38, 5, FALSE), "")</f>
        <v/>
      </c>
      <c r="C14" s="6">
        <f>IFERROR(VLOOKUP(A14, Cadastro!$B$2:$C$38, 2, FALSE), "")</f>
        <v/>
      </c>
      <c r="D14" s="6">
        <f>IFERROR(VLOOKUP(A14, Cadastro!$B$2:$D$38, 3, FALSE), "")</f>
        <v/>
      </c>
      <c r="E14" s="6">
        <f>IFERROR(VLOOKUP(A14, Cadastro!$B$2:$E$38, 4, FALSE), "")</f>
        <v/>
      </c>
      <c r="F14" s="5">
        <f>IFERROR(VLOOKUP(A14, Cadastro!$B$2:$J$38, 9, FALSE), "BRL")</f>
        <v/>
      </c>
      <c r="G14" s="61">
        <f>IF(F14="USD", Indicadores!$E$2, IF(F14="GBP", Indicadores!$F$2, 1))</f>
        <v/>
      </c>
      <c r="H14" s="12" t="n">
        <v>5000</v>
      </c>
      <c r="I14" s="58">
        <f>H14*G14</f>
        <v/>
      </c>
      <c r="J14" s="12" t="n">
        <v>5550</v>
      </c>
      <c r="K14" s="58">
        <f>J14*G14</f>
        <v/>
      </c>
      <c r="L14" s="62" t="n">
        <v>0</v>
      </c>
      <c r="M14" s="58">
        <f>(K14-I14)+L14</f>
        <v/>
      </c>
      <c r="N14" s="13">
        <f>IF(I14&gt;0, M14/I14, 0)</f>
        <v/>
      </c>
      <c r="O14" s="13">
        <f>IF(#REF!&gt;0, K14/#REF!, 0)</f>
        <v/>
      </c>
      <c r="P14" s="13" t="n">
        <v>0.03</v>
      </c>
      <c r="Q14" s="13">
        <f>O14-P14</f>
        <v/>
      </c>
      <c r="R14" s="6" t="inlineStr">
        <is>
          <t>Poupança</t>
        </is>
      </c>
    </row>
    <row r="15" ht="19.95" customHeight="1" s="40">
      <c r="A15" s="8" t="inlineStr">
        <is>
          <t>XP-VGHF11</t>
        </is>
      </c>
      <c r="B15" s="9">
        <f>IFERROR(VLOOKUP(A15, Cadastro!$B$2:$G$38, 5, FALSE), "")</f>
        <v/>
      </c>
      <c r="C15" s="9">
        <f>IFERROR(VLOOKUP(A15, Cadastro!$B$2:$C$38, 2, FALSE), "")</f>
        <v/>
      </c>
      <c r="D15" s="9">
        <f>IFERROR(VLOOKUP(A15, Cadastro!$B$2:$D$38, 3, FALSE), "")</f>
        <v/>
      </c>
      <c r="E15" s="9">
        <f>IFERROR(VLOOKUP(A15, Cadastro!$B$2:$E$38, 4, FALSE), "")</f>
        <v/>
      </c>
      <c r="F15" s="8">
        <f>IFERROR(VLOOKUP(A15, Cadastro!$B$2:$J$38, 9, FALSE), "BRL")</f>
        <v/>
      </c>
      <c r="G15" s="63">
        <f>IF(F15="USD", Indicadores!$E$2, IF(F15="GBP", Indicadores!$F$2, 1))</f>
        <v/>
      </c>
      <c r="H15" s="12" t="n">
        <v>10000</v>
      </c>
      <c r="I15" s="59">
        <f>H15*G15</f>
        <v/>
      </c>
      <c r="J15" s="12" t="n">
        <v>11100</v>
      </c>
      <c r="K15" s="59">
        <f>J15*G15</f>
        <v/>
      </c>
      <c r="L15" s="62" t="n">
        <v>150</v>
      </c>
      <c r="M15" s="59">
        <f>(K15-I15)+L15</f>
        <v/>
      </c>
      <c r="N15" s="14">
        <f>IF(I15&gt;0, M15/I15, 0)</f>
        <v/>
      </c>
      <c r="O15" s="14">
        <f>IF(#REF!&gt;0, K15/#REF!, 0)</f>
        <v/>
      </c>
      <c r="P15" s="14" t="n">
        <v>0.03</v>
      </c>
      <c r="Q15" s="14">
        <f>O15-P15</f>
        <v/>
      </c>
      <c r="R15" s="9" t="inlineStr">
        <is>
          <t>Poupança</t>
        </is>
      </c>
    </row>
    <row r="16" ht="19.95" customHeight="1" s="40">
      <c r="A16" s="5" t="inlineStr">
        <is>
          <t>XP-RBRY11</t>
        </is>
      </c>
      <c r="B16" s="6">
        <f>IFERROR(VLOOKUP(A16, Cadastro!$B$2:$G$38, 5, FALSE), "")</f>
        <v/>
      </c>
      <c r="C16" s="6">
        <f>IFERROR(VLOOKUP(A16, Cadastro!$B$2:$C$38, 2, FALSE), "")</f>
        <v/>
      </c>
      <c r="D16" s="6">
        <f>IFERROR(VLOOKUP(A16, Cadastro!$B$2:$D$38, 3, FALSE), "")</f>
        <v/>
      </c>
      <c r="E16" s="6">
        <f>IFERROR(VLOOKUP(A16, Cadastro!$B$2:$E$38, 4, FALSE), "")</f>
        <v/>
      </c>
      <c r="F16" s="5">
        <f>IFERROR(VLOOKUP(A16, Cadastro!$B$2:$J$38, 9, FALSE), "BRL")</f>
        <v/>
      </c>
      <c r="G16" s="61">
        <f>IF(F16="USD", Indicadores!$E$2, IF(F16="GBP", Indicadores!$F$2, 1))</f>
        <v/>
      </c>
      <c r="H16" s="12" t="n">
        <v>10000</v>
      </c>
      <c r="I16" s="58">
        <f>H16*G16</f>
        <v/>
      </c>
      <c r="J16" s="12" t="n">
        <v>11100</v>
      </c>
      <c r="K16" s="58">
        <f>J16*G16</f>
        <v/>
      </c>
      <c r="L16" s="62" t="n">
        <v>150</v>
      </c>
      <c r="M16" s="58">
        <f>(K16-I16)+L16</f>
        <v/>
      </c>
      <c r="N16" s="13">
        <f>IF(I16&gt;0, M16/I16, 0)</f>
        <v/>
      </c>
      <c r="O16" s="13">
        <f>IF(#REF!&gt;0, K16/#REF!, 0)</f>
        <v/>
      </c>
      <c r="P16" s="13" t="n">
        <v>0.03</v>
      </c>
      <c r="Q16" s="13">
        <f>O16-P16</f>
        <v/>
      </c>
      <c r="R16" s="6" t="inlineStr">
        <is>
          <t>Poupança</t>
        </is>
      </c>
    </row>
    <row r="17" ht="19.95" customHeight="1" s="40">
      <c r="A17" s="8" t="inlineStr">
        <is>
          <t>XP-MFII11</t>
        </is>
      </c>
      <c r="B17" s="9">
        <f>IFERROR(VLOOKUP(A17, Cadastro!$B$2:$G$38, 5, FALSE), "")</f>
        <v/>
      </c>
      <c r="C17" s="9">
        <f>IFERROR(VLOOKUP(A17, Cadastro!$B$2:$C$38, 2, FALSE), "")</f>
        <v/>
      </c>
      <c r="D17" s="9">
        <f>IFERROR(VLOOKUP(A17, Cadastro!$B$2:$D$38, 3, FALSE), "")</f>
        <v/>
      </c>
      <c r="E17" s="9">
        <f>IFERROR(VLOOKUP(A17, Cadastro!$B$2:$E$38, 4, FALSE), "")</f>
        <v/>
      </c>
      <c r="F17" s="8">
        <f>IFERROR(VLOOKUP(A17, Cadastro!$B$2:$J$38, 9, FALSE), "BRL")</f>
        <v/>
      </c>
      <c r="G17" s="63">
        <f>IF(F17="USD", Indicadores!$E$2, IF(F17="GBP", Indicadores!$F$2, 1))</f>
        <v/>
      </c>
      <c r="H17" s="12" t="n">
        <v>10000</v>
      </c>
      <c r="I17" s="59">
        <f>H17*G17</f>
        <v/>
      </c>
      <c r="J17" s="12" t="n">
        <v>11100</v>
      </c>
      <c r="K17" s="59">
        <f>J17*G17</f>
        <v/>
      </c>
      <c r="L17" s="62" t="n">
        <v>150</v>
      </c>
      <c r="M17" s="59">
        <f>(K17-I17)+L17</f>
        <v/>
      </c>
      <c r="N17" s="14">
        <f>IF(I17&gt;0, M17/I17, 0)</f>
        <v/>
      </c>
      <c r="O17" s="14">
        <f>IF(#REF!&gt;0, K17/#REF!, 0)</f>
        <v/>
      </c>
      <c r="P17" s="14" t="n">
        <v>0.03</v>
      </c>
      <c r="Q17" s="14">
        <f>O17-P17</f>
        <v/>
      </c>
      <c r="R17" s="9" t="inlineStr">
        <is>
          <t>Poupança</t>
        </is>
      </c>
    </row>
    <row r="18" ht="19.95" customHeight="1" s="40">
      <c r="A18" s="5" t="inlineStr">
        <is>
          <t>BIN-BTC</t>
        </is>
      </c>
      <c r="B18" s="6">
        <f>IFERROR(VLOOKUP(A18, Cadastro!$B$2:$G$38, 5, FALSE), "")</f>
        <v/>
      </c>
      <c r="C18" s="6">
        <f>IFERROR(VLOOKUP(A18, Cadastro!$B$2:$C$38, 2, FALSE), "")</f>
        <v/>
      </c>
      <c r="D18" s="6">
        <f>IFERROR(VLOOKUP(A18, Cadastro!$B$2:$D$38, 3, FALSE), "")</f>
        <v/>
      </c>
      <c r="E18" s="6">
        <f>IFERROR(VLOOKUP(A18, Cadastro!$B$2:$E$38, 4, FALSE), "")</f>
        <v/>
      </c>
      <c r="F18" s="5">
        <f>IFERROR(VLOOKUP(A18, Cadastro!$B$2:$J$38, 9, FALSE), "BRL")</f>
        <v/>
      </c>
      <c r="G18" s="61">
        <f>IF(F18="USD", Indicadores!$E$2, IF(F18="GBP", Indicadores!$F$2, 1))</f>
        <v/>
      </c>
      <c r="H18" s="12" t="n">
        <v>12000</v>
      </c>
      <c r="I18" s="58">
        <f>H18*G18</f>
        <v/>
      </c>
      <c r="J18" s="12" t="n">
        <v>16200</v>
      </c>
      <c r="K18" s="58">
        <f>J18*G18</f>
        <v/>
      </c>
      <c r="L18" s="62" t="n">
        <v>0</v>
      </c>
      <c r="M18" s="58">
        <f>(K18-I18)+L18</f>
        <v/>
      </c>
      <c r="N18" s="13">
        <f>IF(I18&gt;0, M18/I18, 0)</f>
        <v/>
      </c>
      <c r="O18" s="13">
        <f>IF(#REF!&gt;0, K18/#REF!, 0)</f>
        <v/>
      </c>
      <c r="P18" s="13" t="n">
        <v>0.03</v>
      </c>
      <c r="Q18" s="13">
        <f>O18-P18</f>
        <v/>
      </c>
      <c r="R18" s="6" t="inlineStr">
        <is>
          <t>Poupança</t>
        </is>
      </c>
    </row>
    <row r="19" ht="19.95" customHeight="1" s="40">
      <c r="A19" s="8" t="inlineStr">
        <is>
          <t>BIN-SUI</t>
        </is>
      </c>
      <c r="B19" s="9">
        <f>IFERROR(VLOOKUP(A19, Cadastro!$B$2:$G$38, 5, FALSE), "")</f>
        <v/>
      </c>
      <c r="C19" s="9">
        <f>IFERROR(VLOOKUP(A19, Cadastro!$B$2:$C$38, 2, FALSE), "")</f>
        <v/>
      </c>
      <c r="D19" s="9">
        <f>IFERROR(VLOOKUP(A19, Cadastro!$B$2:$D$38, 3, FALSE), "")</f>
        <v/>
      </c>
      <c r="E19" s="9">
        <f>IFERROR(VLOOKUP(A19, Cadastro!$B$2:$E$38, 4, FALSE), "")</f>
        <v/>
      </c>
      <c r="F19" s="8">
        <f>IFERROR(VLOOKUP(A19, Cadastro!$B$2:$J$38, 9, FALSE), "BRL")</f>
        <v/>
      </c>
      <c r="G19" s="63">
        <f>IF(F19="USD", Indicadores!$E$2, IF(F19="GBP", Indicadores!$F$2, 1))</f>
        <v/>
      </c>
      <c r="H19" s="12" t="n">
        <v>2000</v>
      </c>
      <c r="I19" s="59">
        <f>H19*G19</f>
        <v/>
      </c>
      <c r="J19" s="12" t="n">
        <v>2220</v>
      </c>
      <c r="K19" s="59">
        <f>J19*G19</f>
        <v/>
      </c>
      <c r="L19" s="62" t="n">
        <v>0</v>
      </c>
      <c r="M19" s="59">
        <f>(K19-I19)+L19</f>
        <v/>
      </c>
      <c r="N19" s="14">
        <f>IF(I19&gt;0, M19/I19, 0)</f>
        <v/>
      </c>
      <c r="O19" s="14">
        <f>IF(#REF!&gt;0, K19/#REF!, 0)</f>
        <v/>
      </c>
      <c r="P19" s="14" t="n">
        <v>0.03</v>
      </c>
      <c r="Q19" s="14">
        <f>O19-P19</f>
        <v/>
      </c>
      <c r="R19" s="9" t="inlineStr">
        <is>
          <t>Poupança</t>
        </is>
      </c>
    </row>
    <row r="20" ht="19.95" customHeight="1" s="40">
      <c r="A20" s="5" t="inlineStr">
        <is>
          <t>BIN-AVAX</t>
        </is>
      </c>
      <c r="B20" s="6">
        <f>IFERROR(VLOOKUP(A20, Cadastro!$B$2:$G$38, 5, FALSE), "")</f>
        <v/>
      </c>
      <c r="C20" s="6">
        <f>IFERROR(VLOOKUP(A20, Cadastro!$B$2:$C$38, 2, FALSE), "")</f>
        <v/>
      </c>
      <c r="D20" s="6">
        <f>IFERROR(VLOOKUP(A20, Cadastro!$B$2:$D$38, 3, FALSE), "")</f>
        <v/>
      </c>
      <c r="E20" s="6">
        <f>IFERROR(VLOOKUP(A20, Cadastro!$B$2:$E$38, 4, FALSE), "")</f>
        <v/>
      </c>
      <c r="F20" s="5">
        <f>IFERROR(VLOOKUP(A20, Cadastro!$B$2:$J$38, 9, FALSE), "BRL")</f>
        <v/>
      </c>
      <c r="G20" s="61">
        <f>IF(F20="USD", Indicadores!$E$2, IF(F20="GBP", Indicadores!$F$2, 1))</f>
        <v/>
      </c>
      <c r="H20" s="12" t="n">
        <v>2000</v>
      </c>
      <c r="I20" s="58">
        <f>H20*G20</f>
        <v/>
      </c>
      <c r="J20" s="12" t="n">
        <v>2220</v>
      </c>
      <c r="K20" s="58">
        <f>J20*G20</f>
        <v/>
      </c>
      <c r="L20" s="62" t="n">
        <v>0</v>
      </c>
      <c r="M20" s="58">
        <f>(K20-I20)+L20</f>
        <v/>
      </c>
      <c r="N20" s="13">
        <f>IF(I20&gt;0, M20/I20, 0)</f>
        <v/>
      </c>
      <c r="O20" s="13">
        <f>IF(#REF!&gt;0, K20/#REF!, 0)</f>
        <v/>
      </c>
      <c r="P20" s="13" t="n">
        <v>0.03</v>
      </c>
      <c r="Q20" s="13">
        <f>O20-P20</f>
        <v/>
      </c>
      <c r="R20" s="6" t="inlineStr">
        <is>
          <t>Poupança</t>
        </is>
      </c>
    </row>
    <row r="21" ht="19.95" customHeight="1" s="40">
      <c r="A21" s="8" t="inlineStr">
        <is>
          <t>BIN-ETH</t>
        </is>
      </c>
      <c r="B21" s="9">
        <f>IFERROR(VLOOKUP(A21, Cadastro!$B$2:$G$38, 5, FALSE), "")</f>
        <v/>
      </c>
      <c r="C21" s="9">
        <f>IFERROR(VLOOKUP(A21, Cadastro!$B$2:$C$38, 2, FALSE), "")</f>
        <v/>
      </c>
      <c r="D21" s="9">
        <f>IFERROR(VLOOKUP(A21, Cadastro!$B$2:$D$38, 3, FALSE), "")</f>
        <v/>
      </c>
      <c r="E21" s="9">
        <f>IFERROR(VLOOKUP(A21, Cadastro!$B$2:$E$38, 4, FALSE), "")</f>
        <v/>
      </c>
      <c r="F21" s="8">
        <f>IFERROR(VLOOKUP(A21, Cadastro!$B$2:$J$38, 9, FALSE), "BRL")</f>
        <v/>
      </c>
      <c r="G21" s="63">
        <f>IF(F21="USD", Indicadores!$E$2, IF(F21="GBP", Indicadores!$F$2, 1))</f>
        <v/>
      </c>
      <c r="H21" s="12" t="n">
        <v>5000</v>
      </c>
      <c r="I21" s="59">
        <f>H21*G21</f>
        <v/>
      </c>
      <c r="J21" s="12" t="n">
        <v>5550</v>
      </c>
      <c r="K21" s="59">
        <f>J21*G21</f>
        <v/>
      </c>
      <c r="L21" s="62" t="n">
        <v>0</v>
      </c>
      <c r="M21" s="59">
        <f>(K21-I21)+L21</f>
        <v/>
      </c>
      <c r="N21" s="14">
        <f>IF(I21&gt;0, M21/I21, 0)</f>
        <v/>
      </c>
      <c r="O21" s="14">
        <f>IF(#REF!&gt;0, K21/#REF!, 0)</f>
        <v/>
      </c>
      <c r="P21" s="14" t="n">
        <v>0.03</v>
      </c>
      <c r="Q21" s="14">
        <f>O21-P21</f>
        <v/>
      </c>
      <c r="R21" s="9" t="inlineStr">
        <is>
          <t>Poupança</t>
        </is>
      </c>
    </row>
    <row r="22" ht="19.95" customHeight="1" s="40">
      <c r="A22" s="5" t="inlineStr">
        <is>
          <t>BIN-SOL</t>
        </is>
      </c>
      <c r="B22" s="6">
        <f>IFERROR(VLOOKUP(A22, Cadastro!$B$2:$G$38, 5, FALSE), "")</f>
        <v/>
      </c>
      <c r="C22" s="6">
        <f>IFERROR(VLOOKUP(A22, Cadastro!$B$2:$C$38, 2, FALSE), "")</f>
        <v/>
      </c>
      <c r="D22" s="6">
        <f>IFERROR(VLOOKUP(A22, Cadastro!$B$2:$D$38, 3, FALSE), "")</f>
        <v/>
      </c>
      <c r="E22" s="6">
        <f>IFERROR(VLOOKUP(A22, Cadastro!$B$2:$E$38, 4, FALSE), "")</f>
        <v/>
      </c>
      <c r="F22" s="5">
        <f>IFERROR(VLOOKUP(A22, Cadastro!$B$2:$J$38, 9, FALSE), "BRL")</f>
        <v/>
      </c>
      <c r="G22" s="61">
        <f>IF(F22="USD", Indicadores!$E$2, IF(F22="GBP", Indicadores!$F$2, 1))</f>
        <v/>
      </c>
      <c r="H22" s="12" t="n">
        <v>3000</v>
      </c>
      <c r="I22" s="58">
        <f>H22*G22</f>
        <v/>
      </c>
      <c r="J22" s="12" t="n">
        <v>3330</v>
      </c>
      <c r="K22" s="58">
        <f>J22*G22</f>
        <v/>
      </c>
      <c r="L22" s="62" t="n">
        <v>0</v>
      </c>
      <c r="M22" s="58">
        <f>(K22-I22)+L22</f>
        <v/>
      </c>
      <c r="N22" s="13">
        <f>IF(I22&gt;0, M22/I22, 0)</f>
        <v/>
      </c>
      <c r="O22" s="13">
        <f>IF(#REF!&gt;0, K22/#REF!, 0)</f>
        <v/>
      </c>
      <c r="P22" s="13" t="n">
        <v>0.03</v>
      </c>
      <c r="Q22" s="13">
        <f>O22-P22</f>
        <v/>
      </c>
      <c r="R22" s="6" t="inlineStr">
        <is>
          <t>Poupança</t>
        </is>
      </c>
    </row>
    <row r="23" ht="19.95" customHeight="1" s="40">
      <c r="A23" s="8" t="inlineStr">
        <is>
          <t>AVE-DIS</t>
        </is>
      </c>
      <c r="B23" s="9">
        <f>IFERROR(VLOOKUP(A23, Cadastro!$B$2:$G$38, 5, FALSE), "")</f>
        <v/>
      </c>
      <c r="C23" s="9">
        <f>IFERROR(VLOOKUP(A23, Cadastro!$B$2:$C$38, 2, FALSE), "")</f>
        <v/>
      </c>
      <c r="D23" s="9">
        <f>IFERROR(VLOOKUP(A23, Cadastro!$B$2:$D$38, 3, FALSE), "")</f>
        <v/>
      </c>
      <c r="E23" s="9">
        <f>IFERROR(VLOOKUP(A23, Cadastro!$B$2:$E$38, 4, FALSE), "")</f>
        <v/>
      </c>
      <c r="F23" s="8">
        <f>IFERROR(VLOOKUP(A23, Cadastro!$B$2:$J$38, 9, FALSE), "BRL")</f>
        <v/>
      </c>
      <c r="G23" s="63">
        <f>IF(F23="USD", Indicadores!$E$2, IF(F23="GBP", Indicadores!$F$2, 1))</f>
        <v/>
      </c>
      <c r="H23" s="12" t="n">
        <v>2000</v>
      </c>
      <c r="I23" s="59">
        <f>H23*G23</f>
        <v/>
      </c>
      <c r="J23" s="12" t="n">
        <v>2400</v>
      </c>
      <c r="K23" s="59">
        <f>J23*G23</f>
        <v/>
      </c>
      <c r="L23" s="62" t="n">
        <v>40</v>
      </c>
      <c r="M23" s="59">
        <f>(K23-I23)+L23</f>
        <v/>
      </c>
      <c r="N23" s="14">
        <f>IF(I23&gt;0, M23/I23, 0)</f>
        <v/>
      </c>
      <c r="O23" s="14">
        <f>IF(#REF!&gt;0, K23/#REF!, 0)</f>
        <v/>
      </c>
      <c r="P23" s="14" t="n">
        <v>0.03</v>
      </c>
      <c r="Q23" s="14">
        <f>O23-P23</f>
        <v/>
      </c>
      <c r="R23" s="9" t="inlineStr">
        <is>
          <t>Poupança</t>
        </is>
      </c>
    </row>
    <row r="24" ht="19.95" customHeight="1" s="40">
      <c r="A24" s="5" t="inlineStr">
        <is>
          <t>AVE-GOOGL</t>
        </is>
      </c>
      <c r="B24" s="6">
        <f>IFERROR(VLOOKUP(A24, Cadastro!$B$2:$G$38, 5, FALSE), "")</f>
        <v/>
      </c>
      <c r="C24" s="6">
        <f>IFERROR(VLOOKUP(A24, Cadastro!$B$2:$C$38, 2, FALSE), "")</f>
        <v/>
      </c>
      <c r="D24" s="6">
        <f>IFERROR(VLOOKUP(A24, Cadastro!$B$2:$D$38, 3, FALSE), "")</f>
        <v/>
      </c>
      <c r="E24" s="6">
        <f>IFERROR(VLOOKUP(A24, Cadastro!$B$2:$E$38, 4, FALSE), "")</f>
        <v/>
      </c>
      <c r="F24" s="5">
        <f>IFERROR(VLOOKUP(A24, Cadastro!$B$2:$J$38, 9, FALSE), "BRL")</f>
        <v/>
      </c>
      <c r="G24" s="61">
        <f>IF(F24="USD", Indicadores!$E$2, IF(F24="GBP", Indicadores!$F$2, 1))</f>
        <v/>
      </c>
      <c r="H24" s="12" t="n">
        <v>3000</v>
      </c>
      <c r="I24" s="58">
        <f>H24*G24</f>
        <v/>
      </c>
      <c r="J24" s="12" t="n">
        <v>3600</v>
      </c>
      <c r="K24" s="58">
        <f>J24*G24</f>
        <v/>
      </c>
      <c r="L24" s="62" t="n">
        <v>60</v>
      </c>
      <c r="M24" s="58">
        <f>(K24-I24)+L24</f>
        <v/>
      </c>
      <c r="N24" s="13">
        <f>IF(I24&gt;0, M24/I24, 0)</f>
        <v/>
      </c>
      <c r="O24" s="13">
        <f>IF(#REF!&gt;0, K24/#REF!, 0)</f>
        <v/>
      </c>
      <c r="P24" s="13" t="n">
        <v>0.03</v>
      </c>
      <c r="Q24" s="13">
        <f>O24-P24</f>
        <v/>
      </c>
      <c r="R24" s="6" t="inlineStr">
        <is>
          <t>Poupança</t>
        </is>
      </c>
    </row>
    <row r="25" ht="19.95" customHeight="1" s="40">
      <c r="A25" s="8" t="inlineStr">
        <is>
          <t>AVE-MSFT</t>
        </is>
      </c>
      <c r="B25" s="9">
        <f>IFERROR(VLOOKUP(A25, Cadastro!$B$2:$G$38, 5, FALSE), "")</f>
        <v/>
      </c>
      <c r="C25" s="9">
        <f>IFERROR(VLOOKUP(A25, Cadastro!$B$2:$C$38, 2, FALSE), "")</f>
        <v/>
      </c>
      <c r="D25" s="9">
        <f>IFERROR(VLOOKUP(A25, Cadastro!$B$2:$D$38, 3, FALSE), "")</f>
        <v/>
      </c>
      <c r="E25" s="9">
        <f>IFERROR(VLOOKUP(A25, Cadastro!$B$2:$E$38, 4, FALSE), "")</f>
        <v/>
      </c>
      <c r="F25" s="8">
        <f>IFERROR(VLOOKUP(A25, Cadastro!$B$2:$J$38, 9, FALSE), "BRL")</f>
        <v/>
      </c>
      <c r="G25" s="63">
        <f>IF(F25="USD", Indicadores!$E$2, IF(F25="GBP", Indicadores!$F$2, 1))</f>
        <v/>
      </c>
      <c r="H25" s="12" t="n">
        <v>3000</v>
      </c>
      <c r="I25" s="59">
        <f>H25*G25</f>
        <v/>
      </c>
      <c r="J25" s="12" t="n">
        <v>3600</v>
      </c>
      <c r="K25" s="59">
        <f>J25*G25</f>
        <v/>
      </c>
      <c r="L25" s="62" t="n">
        <v>60</v>
      </c>
      <c r="M25" s="59">
        <f>(K25-I25)+L25</f>
        <v/>
      </c>
      <c r="N25" s="14">
        <f>IF(I25&gt;0, M25/I25, 0)</f>
        <v/>
      </c>
      <c r="O25" s="14">
        <f>IF(#REF!&gt;0, K25/#REF!, 0)</f>
        <v/>
      </c>
      <c r="P25" s="14" t="n">
        <v>0.03</v>
      </c>
      <c r="Q25" s="14">
        <f>O25-P25</f>
        <v/>
      </c>
      <c r="R25" s="9" t="inlineStr">
        <is>
          <t>Poupança</t>
        </is>
      </c>
    </row>
    <row r="26" ht="19.95" customHeight="1" s="40">
      <c r="A26" s="5" t="inlineStr">
        <is>
          <t>AVE-SHOP</t>
        </is>
      </c>
      <c r="B26" s="6">
        <f>IFERROR(VLOOKUP(A26, Cadastro!$B$2:$G$38, 5, FALSE), "")</f>
        <v/>
      </c>
      <c r="C26" s="6">
        <f>IFERROR(VLOOKUP(A26, Cadastro!$B$2:$C$38, 2, FALSE), "")</f>
        <v/>
      </c>
      <c r="D26" s="6">
        <f>IFERROR(VLOOKUP(A26, Cadastro!$B$2:$D$38, 3, FALSE), "")</f>
        <v/>
      </c>
      <c r="E26" s="6">
        <f>IFERROR(VLOOKUP(A26, Cadastro!$B$2:$E$38, 4, FALSE), "")</f>
        <v/>
      </c>
      <c r="F26" s="5">
        <f>IFERROR(VLOOKUP(A26, Cadastro!$B$2:$J$38, 9, FALSE), "BRL")</f>
        <v/>
      </c>
      <c r="G26" s="61">
        <f>IF(F26="USD", Indicadores!$E$2, IF(F26="GBP", Indicadores!$F$2, 1))</f>
        <v/>
      </c>
      <c r="H26" s="12" t="n">
        <v>1500</v>
      </c>
      <c r="I26" s="58">
        <f>H26*G26</f>
        <v/>
      </c>
      <c r="J26" s="12" t="n">
        <v>1800</v>
      </c>
      <c r="K26" s="58">
        <f>J26*G26</f>
        <v/>
      </c>
      <c r="L26" s="62" t="n">
        <v>30</v>
      </c>
      <c r="M26" s="58">
        <f>(K26-I26)+L26</f>
        <v/>
      </c>
      <c r="N26" s="13">
        <f>IF(I26&gt;0, M26/I26, 0)</f>
        <v/>
      </c>
      <c r="O26" s="13">
        <f>IF(#REF!&gt;0, K26/#REF!, 0)</f>
        <v/>
      </c>
      <c r="P26" s="13" t="n">
        <v>0.03</v>
      </c>
      <c r="Q26" s="13">
        <f>O26-P26</f>
        <v/>
      </c>
      <c r="R26" s="6" t="inlineStr">
        <is>
          <t>Poupança</t>
        </is>
      </c>
    </row>
    <row r="27" ht="19.95" customHeight="1" s="40">
      <c r="A27" s="8" t="inlineStr">
        <is>
          <t>AVE-BLOK</t>
        </is>
      </c>
      <c r="B27" s="9">
        <f>IFERROR(VLOOKUP(A27, Cadastro!$B$2:$G$38, 5, FALSE), "")</f>
        <v/>
      </c>
      <c r="C27" s="9">
        <f>IFERROR(VLOOKUP(A27, Cadastro!$B$2:$C$38, 2, FALSE), "")</f>
        <v/>
      </c>
      <c r="D27" s="9">
        <f>IFERROR(VLOOKUP(A27, Cadastro!$B$2:$D$38, 3, FALSE), "")</f>
        <v/>
      </c>
      <c r="E27" s="9">
        <f>IFERROR(VLOOKUP(A27, Cadastro!$B$2:$E$38, 4, FALSE), "")</f>
        <v/>
      </c>
      <c r="F27" s="8">
        <f>IFERROR(VLOOKUP(A27, Cadastro!$B$2:$J$38, 9, FALSE), "BRL")</f>
        <v/>
      </c>
      <c r="G27" s="63">
        <f>IF(F27="USD", Indicadores!$E$2, IF(F27="GBP", Indicadores!$F$2, 1))</f>
        <v/>
      </c>
      <c r="H27" s="12" t="n">
        <v>1500</v>
      </c>
      <c r="I27" s="59">
        <f>H27*G27</f>
        <v/>
      </c>
      <c r="J27" s="12" t="n">
        <v>1800</v>
      </c>
      <c r="K27" s="59">
        <f>J27*G27</f>
        <v/>
      </c>
      <c r="L27" s="62" t="n">
        <v>30</v>
      </c>
      <c r="M27" s="59">
        <f>(K27-I27)+L27</f>
        <v/>
      </c>
      <c r="N27" s="14">
        <f>IF(I27&gt;0, M27/I27, 0)</f>
        <v/>
      </c>
      <c r="O27" s="14">
        <f>IF(#REF!&gt;0, K27/#REF!, 0)</f>
        <v/>
      </c>
      <c r="P27" s="14" t="n">
        <v>0.03</v>
      </c>
      <c r="Q27" s="14">
        <f>O27-P27</f>
        <v/>
      </c>
      <c r="R27" s="9" t="inlineStr">
        <is>
          <t>Poupança</t>
        </is>
      </c>
    </row>
    <row r="28" ht="19.95" customHeight="1" s="40">
      <c r="A28" s="5" t="inlineStr">
        <is>
          <t>AVE-IWM</t>
        </is>
      </c>
      <c r="B28" s="6">
        <f>IFERROR(VLOOKUP(A28, Cadastro!$B$2:$G$38, 5, FALSE), "")</f>
        <v/>
      </c>
      <c r="C28" s="6">
        <f>IFERROR(VLOOKUP(A28, Cadastro!$B$2:$C$38, 2, FALSE), "")</f>
        <v/>
      </c>
      <c r="D28" s="6">
        <f>IFERROR(VLOOKUP(A28, Cadastro!$B$2:$D$38, 3, FALSE), "")</f>
        <v/>
      </c>
      <c r="E28" s="6">
        <f>IFERROR(VLOOKUP(A28, Cadastro!$B$2:$E$38, 4, FALSE), "")</f>
        <v/>
      </c>
      <c r="F28" s="5">
        <f>IFERROR(VLOOKUP(A28, Cadastro!$B$2:$J$38, 9, FALSE), "BRL")</f>
        <v/>
      </c>
      <c r="G28" s="61">
        <f>IF(F28="USD", Indicadores!$E$2, IF(F28="GBP", Indicadores!$F$2, 1))</f>
        <v/>
      </c>
      <c r="H28" s="12" t="n">
        <v>2000</v>
      </c>
      <c r="I28" s="58">
        <f>H28*G28</f>
        <v/>
      </c>
      <c r="J28" s="12" t="n">
        <v>2400</v>
      </c>
      <c r="K28" s="58">
        <f>J28*G28</f>
        <v/>
      </c>
      <c r="L28" s="62" t="n">
        <v>40</v>
      </c>
      <c r="M28" s="58">
        <f>(K28-I28)+L28</f>
        <v/>
      </c>
      <c r="N28" s="13">
        <f>IF(I28&gt;0, M28/I28, 0)</f>
        <v/>
      </c>
      <c r="O28" s="13">
        <f>IF(#REF!&gt;0, K28/#REF!, 0)</f>
        <v/>
      </c>
      <c r="P28" s="13" t="n">
        <v>0.03</v>
      </c>
      <c r="Q28" s="13">
        <f>O28-P28</f>
        <v/>
      </c>
      <c r="R28" s="6" t="inlineStr">
        <is>
          <t>Poupança</t>
        </is>
      </c>
    </row>
    <row r="29" ht="19.95" customHeight="1" s="40">
      <c r="A29" s="8" t="inlineStr">
        <is>
          <t>WISE-USD</t>
        </is>
      </c>
      <c r="B29" s="9">
        <f>IFERROR(VLOOKUP(A29, Cadastro!$B$2:$G$38, 5, FALSE), "")</f>
        <v/>
      </c>
      <c r="C29" s="9">
        <f>IFERROR(VLOOKUP(A29, Cadastro!$B$2:$C$38, 2, FALSE), "")</f>
        <v/>
      </c>
      <c r="D29" s="9">
        <f>IFERROR(VLOOKUP(A29, Cadastro!$B$2:$D$38, 3, FALSE), "")</f>
        <v/>
      </c>
      <c r="E29" s="9">
        <f>IFERROR(VLOOKUP(A29, Cadastro!$B$2:$E$38, 4, FALSE), "")</f>
        <v/>
      </c>
      <c r="F29" s="8">
        <f>IFERROR(VLOOKUP(A29, Cadastro!$B$2:$J$38, 9, FALSE), "BRL")</f>
        <v/>
      </c>
      <c r="G29" s="63">
        <f>IF(F29="USD", Indicadores!$E$2, IF(F29="GBP", Indicadores!$F$2, 1))</f>
        <v/>
      </c>
      <c r="H29" s="12" t="n">
        <v>1000</v>
      </c>
      <c r="I29" s="59">
        <f>H29*G29</f>
        <v/>
      </c>
      <c r="J29" s="12" t="n">
        <v>1200</v>
      </c>
      <c r="K29" s="59">
        <f>J29*G29</f>
        <v/>
      </c>
      <c r="L29" s="62" t="n">
        <v>20</v>
      </c>
      <c r="M29" s="59">
        <f>(K29-I29)+L29</f>
        <v/>
      </c>
      <c r="N29" s="14">
        <f>IF(I29&gt;0, M29/I29, 0)</f>
        <v/>
      </c>
      <c r="O29" s="14">
        <f>IF(#REF!&gt;0, K29/#REF!, 0)</f>
        <v/>
      </c>
      <c r="P29" s="14" t="n">
        <v>0.03</v>
      </c>
      <c r="Q29" s="14">
        <f>O29-P29</f>
        <v/>
      </c>
      <c r="R29" s="9" t="inlineStr">
        <is>
          <t>Poupança</t>
        </is>
      </c>
    </row>
    <row r="30" ht="19.95" customHeight="1" s="40">
      <c r="A30" s="5" t="inlineStr">
        <is>
          <t>WISE-GBP</t>
        </is>
      </c>
      <c r="B30" s="6">
        <f>IFERROR(VLOOKUP(A30, Cadastro!$B$2:$G$38, 5, FALSE), "")</f>
        <v/>
      </c>
      <c r="C30" s="6">
        <f>IFERROR(VLOOKUP(A30, Cadastro!$B$2:$C$38, 2, FALSE), "")</f>
        <v/>
      </c>
      <c r="D30" s="6">
        <f>IFERROR(VLOOKUP(A30, Cadastro!$B$2:$D$38, 3, FALSE), "")</f>
        <v/>
      </c>
      <c r="E30" s="6">
        <f>IFERROR(VLOOKUP(A30, Cadastro!$B$2:$E$38, 4, FALSE), "")</f>
        <v/>
      </c>
      <c r="F30" s="5">
        <f>IFERROR(VLOOKUP(A30, Cadastro!$B$2:$J$38, 9, FALSE), "BRL")</f>
        <v/>
      </c>
      <c r="G30" s="61">
        <f>IF(F30="USD", Indicadores!$E$2, IF(F30="GBP", Indicadores!$F$2, 1))</f>
        <v/>
      </c>
      <c r="H30" s="12" t="n">
        <v>500</v>
      </c>
      <c r="I30" s="58">
        <f>H30*G30</f>
        <v/>
      </c>
      <c r="J30" s="12" t="n">
        <v>555</v>
      </c>
      <c r="K30" s="58">
        <f>J30*G30</f>
        <v/>
      </c>
      <c r="L30" s="62" t="n">
        <v>0</v>
      </c>
      <c r="M30" s="58">
        <f>(K30-I30)+L30</f>
        <v/>
      </c>
      <c r="N30" s="13">
        <f>IF(I30&gt;0, M30/I30, 0)</f>
        <v/>
      </c>
      <c r="O30" s="13">
        <f>IF(#REF!&gt;0, K30/#REF!, 0)</f>
        <v/>
      </c>
      <c r="P30" s="13" t="n">
        <v>0.03</v>
      </c>
      <c r="Q30" s="13">
        <f>O30-P30</f>
        <v/>
      </c>
      <c r="R30" s="6" t="inlineStr">
        <is>
          <t>Poupança</t>
        </is>
      </c>
    </row>
    <row r="31" ht="19.95" customHeight="1" s="40">
      <c r="A31" s="8" t="inlineStr">
        <is>
          <t>C6-CDB</t>
        </is>
      </c>
      <c r="B31" s="9">
        <f>IFERROR(VLOOKUP(A31, Cadastro!$B$2:$G$38, 5, FALSE), "")</f>
        <v/>
      </c>
      <c r="C31" s="9">
        <f>IFERROR(VLOOKUP(A31, Cadastro!$B$2:$C$38, 2, FALSE), "")</f>
        <v/>
      </c>
      <c r="D31" s="9">
        <f>IFERROR(VLOOKUP(A31, Cadastro!$B$2:$D$38, 3, FALSE), "")</f>
        <v/>
      </c>
      <c r="E31" s="9">
        <f>IFERROR(VLOOKUP(A31, Cadastro!$B$2:$E$38, 4, FALSE), "")</f>
        <v/>
      </c>
      <c r="F31" s="8">
        <f>IFERROR(VLOOKUP(A31, Cadastro!$B$2:$J$38, 9, FALSE), "BRL")</f>
        <v/>
      </c>
      <c r="G31" s="63">
        <f>IF(F31="USD", Indicadores!$E$2, IF(F31="GBP", Indicadores!$F$2, 1))</f>
        <v/>
      </c>
      <c r="H31" s="12" t="n">
        <v>30000</v>
      </c>
      <c r="I31" s="59">
        <f>H31*G31</f>
        <v/>
      </c>
      <c r="J31" s="12" t="n">
        <v>33300</v>
      </c>
      <c r="K31" s="59">
        <f>J31*G31</f>
        <v/>
      </c>
      <c r="L31" s="62" t="n">
        <v>0</v>
      </c>
      <c r="M31" s="59">
        <f>(K31-I31)+L31</f>
        <v/>
      </c>
      <c r="N31" s="14">
        <f>IF(I31&gt;0, M31/I31, 0)</f>
        <v/>
      </c>
      <c r="O31" s="14">
        <f>IF(#REF!&gt;0, K31/#REF!, 0)</f>
        <v/>
      </c>
      <c r="P31" s="14" t="n">
        <v>0.03</v>
      </c>
      <c r="Q31" s="14">
        <f>O31-P31</f>
        <v/>
      </c>
      <c r="R31" s="9" t="inlineStr">
        <is>
          <t>300K</t>
        </is>
      </c>
    </row>
    <row r="32" ht="19.95" customHeight="1" s="40">
      <c r="A32" s="5" t="inlineStr">
        <is>
          <t>C6-CDI</t>
        </is>
      </c>
      <c r="B32" s="6">
        <f>IFERROR(VLOOKUP(A32, Cadastro!$B$2:$G$38, 5, FALSE), "")</f>
        <v/>
      </c>
      <c r="C32" s="6">
        <f>IFERROR(VLOOKUP(A32, Cadastro!$B$2:$C$38, 2, FALSE), "")</f>
        <v/>
      </c>
      <c r="D32" s="6">
        <f>IFERROR(VLOOKUP(A32, Cadastro!$B$2:$D$38, 3, FALSE), "")</f>
        <v/>
      </c>
      <c r="E32" s="6">
        <f>IFERROR(VLOOKUP(A32, Cadastro!$B$2:$E$38, 4, FALSE), "")</f>
        <v/>
      </c>
      <c r="F32" s="5">
        <f>IFERROR(VLOOKUP(A32, Cadastro!$B$2:$J$38, 9, FALSE), "BRL")</f>
        <v/>
      </c>
      <c r="G32" s="61">
        <f>IF(F32="USD", Indicadores!$E$2, IF(F32="GBP", Indicadores!$F$2, 1))</f>
        <v/>
      </c>
      <c r="H32" s="12" t="n">
        <v>15000</v>
      </c>
      <c r="I32" s="58">
        <f>H32*G32</f>
        <v/>
      </c>
      <c r="J32" s="12" t="n">
        <v>16650</v>
      </c>
      <c r="K32" s="58">
        <f>J32*G32</f>
        <v/>
      </c>
      <c r="L32" s="62" t="n">
        <v>0</v>
      </c>
      <c r="M32" s="58">
        <f>(K32-I32)+L32</f>
        <v/>
      </c>
      <c r="N32" s="13">
        <f>IF(I32&gt;0, M32/I32, 0)</f>
        <v/>
      </c>
      <c r="O32" s="13">
        <f>IF(#REF!&gt;0, K32/#REF!, 0)</f>
        <v/>
      </c>
      <c r="P32" s="13" t="n">
        <v>0.03</v>
      </c>
      <c r="Q32" s="13">
        <f>O32-P32</f>
        <v/>
      </c>
      <c r="R32" s="6" t="inlineStr">
        <is>
          <t>300k</t>
        </is>
      </c>
    </row>
    <row r="33" ht="19.95" customHeight="1" s="40">
      <c r="A33" s="8" t="inlineStr">
        <is>
          <t>AVE-VOO</t>
        </is>
      </c>
      <c r="B33" s="9">
        <f>IFERROR(VLOOKUP(A33, Cadastro!$B$2:$G$38, 5, FALSE), "")</f>
        <v/>
      </c>
      <c r="C33" s="9">
        <f>IFERROR(VLOOKUP(A33, Cadastro!$B$2:$C$38, 2, FALSE), "")</f>
        <v/>
      </c>
      <c r="D33" s="9">
        <f>IFERROR(VLOOKUP(A33, Cadastro!$B$2:$D$38, 3, FALSE), "")</f>
        <v/>
      </c>
      <c r="E33" s="9">
        <f>IFERROR(VLOOKUP(A33, Cadastro!$B$2:$E$38, 4, FALSE), "")</f>
        <v/>
      </c>
      <c r="F33" s="8">
        <f>IFERROR(VLOOKUP(A33, Cadastro!$B$2:$J$38, 9, FALSE), "BRL")</f>
        <v/>
      </c>
      <c r="G33" s="63">
        <f>IF(F33="USD", Indicadores!$E$2, IF(F33="GBP", Indicadores!$F$2, 1))</f>
        <v/>
      </c>
      <c r="H33" s="12" t="n">
        <v>4000</v>
      </c>
      <c r="I33" s="59">
        <f>H33*G33</f>
        <v/>
      </c>
      <c r="J33" s="12" t="n">
        <v>4800</v>
      </c>
      <c r="K33" s="59">
        <f>J33*G33</f>
        <v/>
      </c>
      <c r="L33" s="62" t="n">
        <v>80</v>
      </c>
      <c r="M33" s="59">
        <f>(K33-I33)+L33</f>
        <v/>
      </c>
      <c r="N33" s="14">
        <f>IF(I33&gt;0, M33/I33, 0)</f>
        <v/>
      </c>
      <c r="O33" s="14">
        <f>IF(#REF!&gt;0, K33/#REF!, 0)</f>
        <v/>
      </c>
      <c r="P33" s="14" t="n">
        <v>0.03</v>
      </c>
      <c r="Q33" s="14">
        <f>O33-P33</f>
        <v/>
      </c>
      <c r="R33" s="9" t="inlineStr">
        <is>
          <t>300k</t>
        </is>
      </c>
    </row>
    <row r="34" ht="19.95" customHeight="1" s="40">
      <c r="A34" s="5" t="inlineStr">
        <is>
          <t>AVE-GOOGL-300K</t>
        </is>
      </c>
      <c r="B34" s="6">
        <f>IFERROR(VLOOKUP(A34, Cadastro!$B$2:$G$38, 5, FALSE), "")</f>
        <v/>
      </c>
      <c r="C34" s="6">
        <f>IFERROR(VLOOKUP(A34, Cadastro!$B$2:$C$38, 2, FALSE), "")</f>
        <v/>
      </c>
      <c r="D34" s="6">
        <f>IFERROR(VLOOKUP(A34, Cadastro!$B$2:$D$38, 3, FALSE), "")</f>
        <v/>
      </c>
      <c r="E34" s="6">
        <f>IFERROR(VLOOKUP(A34, Cadastro!$B$2:$E$38, 4, FALSE), "")</f>
        <v/>
      </c>
      <c r="F34" s="5">
        <f>IFERROR(VLOOKUP(A34, Cadastro!$B$2:$J$38, 9, FALSE), "BRL")</f>
        <v/>
      </c>
      <c r="G34" s="61">
        <f>IF(F34="USD", Indicadores!$E$2, IF(F34="GBP", Indicadores!$F$2, 1))</f>
        <v/>
      </c>
      <c r="H34" s="12" t="n">
        <v>2000</v>
      </c>
      <c r="I34" s="58">
        <f>H34*G34</f>
        <v/>
      </c>
      <c r="J34" s="12" t="n">
        <v>2400</v>
      </c>
      <c r="K34" s="58">
        <f>J34*G34</f>
        <v/>
      </c>
      <c r="L34" s="62" t="n">
        <v>40</v>
      </c>
      <c r="M34" s="58">
        <f>(K34-I34)+L34</f>
        <v/>
      </c>
      <c r="N34" s="13">
        <f>IF(I34&gt;0, M34/I34, 0)</f>
        <v/>
      </c>
      <c r="O34" s="13">
        <f>IF(#REF!&gt;0, K34/#REF!, 0)</f>
        <v/>
      </c>
      <c r="P34" s="13" t="n">
        <v>0.03</v>
      </c>
      <c r="Q34" s="13">
        <f>O34-P34</f>
        <v/>
      </c>
      <c r="R34" s="6" t="inlineStr">
        <is>
          <t>300k</t>
        </is>
      </c>
    </row>
    <row r="35" ht="19.95" customHeight="1" s="40">
      <c r="A35" s="8" t="inlineStr">
        <is>
          <t>AVE-MSFT-300K</t>
        </is>
      </c>
      <c r="B35" s="9">
        <f>IFERROR(VLOOKUP(A35, Cadastro!$B$2:$G$38, 5, FALSE), "")</f>
        <v/>
      </c>
      <c r="C35" s="9">
        <f>IFERROR(VLOOKUP(A35, Cadastro!$B$2:$C$38, 2, FALSE), "")</f>
        <v/>
      </c>
      <c r="D35" s="9">
        <f>IFERROR(VLOOKUP(A35, Cadastro!$B$2:$D$38, 3, FALSE), "")</f>
        <v/>
      </c>
      <c r="E35" s="9">
        <f>IFERROR(VLOOKUP(A35, Cadastro!$B$2:$E$38, 4, FALSE), "")</f>
        <v/>
      </c>
      <c r="F35" s="8">
        <f>IFERROR(VLOOKUP(A35, Cadastro!$B$2:$J$38, 9, FALSE), "BRL")</f>
        <v/>
      </c>
      <c r="G35" s="63">
        <f>IF(F35="USD", Indicadores!$E$2, IF(F35="GBP", Indicadores!$F$2, 1))</f>
        <v/>
      </c>
      <c r="H35" s="12" t="n">
        <v>2000</v>
      </c>
      <c r="I35" s="59">
        <f>H35*G35</f>
        <v/>
      </c>
      <c r="J35" s="12" t="n">
        <v>2400</v>
      </c>
      <c r="K35" s="59">
        <f>J35*G35</f>
        <v/>
      </c>
      <c r="L35" s="62" t="n">
        <v>40</v>
      </c>
      <c r="M35" s="59">
        <f>(K35-I35)+L35</f>
        <v/>
      </c>
      <c r="N35" s="14">
        <f>IF(I35&gt;0, M35/I35, 0)</f>
        <v/>
      </c>
      <c r="O35" s="14">
        <f>IF(#REF!&gt;0, K35/#REF!, 0)</f>
        <v/>
      </c>
      <c r="P35" s="14" t="n">
        <v>0.03</v>
      </c>
      <c r="Q35" s="14">
        <f>O35-P35</f>
        <v/>
      </c>
      <c r="R35" s="9" t="inlineStr">
        <is>
          <t>300k</t>
        </is>
      </c>
    </row>
    <row r="36" ht="19.95" customHeight="1" s="40">
      <c r="A36" s="5" t="inlineStr">
        <is>
          <t>AVE-DIS-300K</t>
        </is>
      </c>
      <c r="B36" s="6">
        <f>IFERROR(VLOOKUP(A36, Cadastro!$B$2:$G$38, 5, FALSE), "")</f>
        <v/>
      </c>
      <c r="C36" s="6">
        <f>IFERROR(VLOOKUP(A36, Cadastro!$B$2:$C$38, 2, FALSE), "")</f>
        <v/>
      </c>
      <c r="D36" s="6">
        <f>IFERROR(VLOOKUP(A36, Cadastro!$B$2:$D$38, 3, FALSE), "")</f>
        <v/>
      </c>
      <c r="E36" s="6">
        <f>IFERROR(VLOOKUP(A36, Cadastro!$B$2:$E$38, 4, FALSE), "")</f>
        <v/>
      </c>
      <c r="F36" s="5">
        <f>IFERROR(VLOOKUP(A36, Cadastro!$B$2:$J$38, 9, FALSE), "BRL")</f>
        <v/>
      </c>
      <c r="G36" s="61">
        <f>IF(F36="USD", Indicadores!$E$2, IF(F36="GBP", Indicadores!$F$2, 1))</f>
        <v/>
      </c>
      <c r="H36" s="12" t="n">
        <v>1500</v>
      </c>
      <c r="I36" s="58">
        <f>H36*G36</f>
        <v/>
      </c>
      <c r="J36" s="12" t="n">
        <v>1800</v>
      </c>
      <c r="K36" s="58">
        <f>J36*G36</f>
        <v/>
      </c>
      <c r="L36" s="62" t="n">
        <v>30</v>
      </c>
      <c r="M36" s="58">
        <f>(K36-I36)+L36</f>
        <v/>
      </c>
      <c r="N36" s="13">
        <f>IF(I36&gt;0, M36/I36, 0)</f>
        <v/>
      </c>
      <c r="O36" s="13">
        <f>IF(#REF!&gt;0, K36/#REF!, 0)</f>
        <v/>
      </c>
      <c r="P36" s="13" t="n">
        <v>0.03</v>
      </c>
      <c r="Q36" s="13">
        <f>O36-P36</f>
        <v/>
      </c>
      <c r="R36" s="6" t="inlineStr">
        <is>
          <t>300k</t>
        </is>
      </c>
    </row>
    <row r="37" ht="19.95" customHeight="1" s="40">
      <c r="A37" s="8" t="inlineStr">
        <is>
          <t>AVE-IWM-300K</t>
        </is>
      </c>
      <c r="B37" s="9">
        <f>IFERROR(VLOOKUP(A37, Cadastro!$B$2:$G$38, 5, FALSE), "")</f>
        <v/>
      </c>
      <c r="C37" s="9">
        <f>IFERROR(VLOOKUP(A37, Cadastro!$B$2:$C$38, 2, FALSE), "")</f>
        <v/>
      </c>
      <c r="D37" s="9">
        <f>IFERROR(VLOOKUP(A37, Cadastro!$B$2:$D$38, 3, FALSE), "")</f>
        <v/>
      </c>
      <c r="E37" s="9">
        <f>IFERROR(VLOOKUP(A37, Cadastro!$B$2:$E$38, 4, FALSE), "")</f>
        <v/>
      </c>
      <c r="F37" s="8">
        <f>IFERROR(VLOOKUP(A37, Cadastro!$B$2:$J$38, 9, FALSE), "BRL")</f>
        <v/>
      </c>
      <c r="G37" s="63">
        <f>IF(F37="USD", Indicadores!$E$2, IF(F37="GBP", Indicadores!$F$2, 1))</f>
        <v/>
      </c>
      <c r="H37" s="12" t="n">
        <v>1500</v>
      </c>
      <c r="I37" s="59">
        <f>H37*G37</f>
        <v/>
      </c>
      <c r="J37" s="12" t="n">
        <v>1800</v>
      </c>
      <c r="K37" s="59">
        <f>J37*G37</f>
        <v/>
      </c>
      <c r="L37" s="62" t="n">
        <v>30</v>
      </c>
      <c r="M37" s="59">
        <f>(K37-I37)+L37</f>
        <v/>
      </c>
      <c r="N37" s="14">
        <f>IF(I37&gt;0, M37/I37, 0)</f>
        <v/>
      </c>
      <c r="O37" s="14">
        <f>IF(#REF!&gt;0, K37/#REF!, 0)</f>
        <v/>
      </c>
      <c r="P37" s="14" t="n">
        <v>0.03</v>
      </c>
      <c r="Q37" s="14">
        <f>O37-P37</f>
        <v/>
      </c>
      <c r="R37" s="9" t="inlineStr">
        <is>
          <t>300k</t>
        </is>
      </c>
    </row>
    <row r="38" ht="19.95" customHeight="1" s="40">
      <c r="A38" s="5" t="inlineStr">
        <is>
          <t>XP-CDBVW</t>
        </is>
      </c>
      <c r="B38" s="6">
        <f>IFERROR(VLOOKUP(A38, Cadastro!$B$2:$G$38, 5, FALSE), "")</f>
        <v/>
      </c>
      <c r="C38" s="6">
        <f>IFERROR(VLOOKUP(A38, Cadastro!$B$2:$C$38, 2, FALSE), "")</f>
        <v/>
      </c>
      <c r="D38" s="6">
        <f>IFERROR(VLOOKUP(A38, Cadastro!$B$2:$D$38, 3, FALSE), "")</f>
        <v/>
      </c>
      <c r="E38" s="6">
        <f>IFERROR(VLOOKUP(A38, Cadastro!$B$2:$E$38, 4, FALSE), "")</f>
        <v/>
      </c>
      <c r="F38" s="5">
        <f>IFERROR(VLOOKUP(A38, Cadastro!$B$2:$J$38, 9, FALSE), "BRL")</f>
        <v/>
      </c>
      <c r="G38" s="61">
        <f>IF(F38="USD", Indicadores!$E$2, IF(F38="GBP", Indicadores!$F$2, 1))</f>
        <v/>
      </c>
      <c r="H38" s="12" t="n">
        <v>20000</v>
      </c>
      <c r="I38" s="58">
        <f>H38*G38</f>
        <v/>
      </c>
      <c r="J38" s="12" t="n">
        <v>22200</v>
      </c>
      <c r="K38" s="58">
        <f>J38*G38</f>
        <v/>
      </c>
      <c r="L38" s="62" t="n">
        <v>0</v>
      </c>
      <c r="M38" s="58">
        <f>(K38-I38)+L38</f>
        <v/>
      </c>
      <c r="N38" s="13">
        <f>IF(I38&gt;0, M38/I38, 0)</f>
        <v/>
      </c>
      <c r="O38" s="13">
        <f>IF(#REF!&gt;0, K38/#REF!, 0)</f>
        <v/>
      </c>
      <c r="P38" s="13" t="n">
        <v>0.03</v>
      </c>
      <c r="Q38" s="13">
        <f>O38-P38</f>
        <v/>
      </c>
      <c r="R38" s="6" t="inlineStr">
        <is>
          <t>300k</t>
        </is>
      </c>
    </row>
    <row r="39" ht="19.95" customHeight="1" s="40">
      <c r="A39" s="8" t="inlineStr">
        <is>
          <t>XP-CDBCW</t>
        </is>
      </c>
      <c r="B39" s="9">
        <f>IFERROR(VLOOKUP(A39, Cadastro!$B$2:$G$38, 5, FALSE), "")</f>
        <v/>
      </c>
      <c r="C39" s="9">
        <f>IFERROR(VLOOKUP(A39, Cadastro!$B$2:$C$38, 2, FALSE), "")</f>
        <v/>
      </c>
      <c r="D39" s="9">
        <f>IFERROR(VLOOKUP(A39, Cadastro!$B$2:$D$38, 3, FALSE), "")</f>
        <v/>
      </c>
      <c r="E39" s="9">
        <f>IFERROR(VLOOKUP(A39, Cadastro!$B$2:$E$38, 4, FALSE), "")</f>
        <v/>
      </c>
      <c r="F39" s="8">
        <f>IFERROR(VLOOKUP(A39, Cadastro!$B$2:$J$38, 9, FALSE), "BRL")</f>
        <v/>
      </c>
      <c r="G39" s="63">
        <f>IF(F39="USD", Indicadores!$E$2, IF(F39="GBP", Indicadores!$F$2, 1))</f>
        <v/>
      </c>
      <c r="H39" s="12" t="n">
        <v>20000</v>
      </c>
      <c r="I39" s="59">
        <f>H39*G39</f>
        <v/>
      </c>
      <c r="J39" s="12" t="n">
        <v>22200</v>
      </c>
      <c r="K39" s="59">
        <f>J39*G39</f>
        <v/>
      </c>
      <c r="L39" s="62" t="n">
        <v>0</v>
      </c>
      <c r="M39" s="59">
        <f>(K39-I39)+L39</f>
        <v/>
      </c>
      <c r="N39" s="14">
        <f>IF(I39&gt;0, M39/I39, 0)</f>
        <v/>
      </c>
      <c r="O39" s="14">
        <f>IF(#REF!&gt;0, K39/#REF!, 0)</f>
        <v/>
      </c>
      <c r="P39" s="14" t="n">
        <v>0.03</v>
      </c>
      <c r="Q39" s="14">
        <f>O39-P39</f>
        <v/>
      </c>
      <c r="R39" s="9" t="inlineStr">
        <is>
          <t>300k</t>
        </is>
      </c>
    </row>
    <row r="40" ht="16.8" customHeight="1" s="40">
      <c r="A40" s="38" t="inlineStr">
        <is>
          <t>TOTAL CONSOLIDADO</t>
        </is>
      </c>
      <c r="B40" s="31" t="n"/>
      <c r="C40" s="31" t="n"/>
      <c r="D40" s="31" t="n"/>
      <c r="E40" s="31" t="n"/>
      <c r="F40" s="31" t="n"/>
      <c r="G40" s="31" t="n"/>
      <c r="H40" s="31" t="n"/>
      <c r="I40" s="64">
        <f>SUM(I4:I39)</f>
        <v/>
      </c>
      <c r="J40" s="15" t="n"/>
      <c r="K40" s="64">
        <f>SUM(K4:K39)</f>
        <v/>
      </c>
      <c r="L40" s="64">
        <f>SUM(L4:L39)</f>
        <v/>
      </c>
      <c r="M40" s="64">
        <f>SUM(M4:M39)</f>
        <v/>
      </c>
      <c r="N40" s="16">
        <f>IF(#REF!&gt;0,#REF! /#REF!, 0)</f>
        <v/>
      </c>
      <c r="O40" s="16">
        <f>SUM(O4:O39)</f>
        <v/>
      </c>
      <c r="P40" s="16">
        <f>SUM(P4:P39)</f>
        <v/>
      </c>
      <c r="Q40" s="16">
        <f>#REF!-#REF!</f>
        <v/>
      </c>
      <c r="R40" s="15" t="n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D1" sqref="D1"/>
    </sheetView>
  </sheetViews>
  <sheetFormatPr baseColWidth="8" defaultRowHeight="14.4"/>
  <cols>
    <col width="12" bestFit="1" customWidth="1" style="40" min="1" max="1"/>
    <col width="18" bestFit="1" customWidth="1" style="40" min="2" max="2"/>
    <col width="16" bestFit="1" customWidth="1" style="40" min="3" max="3"/>
    <col width="18" bestFit="1" customWidth="1" style="40" min="4" max="4"/>
    <col width="20" bestFit="1" customWidth="1" style="40" min="5" max="5"/>
    <col width="43" bestFit="1" customWidth="1" style="40" min="6" max="6"/>
    <col width="12" bestFit="1" customWidth="1" style="40" min="7" max="7"/>
    <col width="26" customWidth="1" style="40" min="8" max="8"/>
    <col width="16" bestFit="1" customWidth="1" style="40" min="9" max="9"/>
    <col width="12" bestFit="1" customWidth="1" style="40" min="10" max="10"/>
    <col width="15" bestFit="1" customWidth="1" style="40" min="11" max="11"/>
    <col width="14" bestFit="1" customWidth="1" style="40" min="12" max="12"/>
    <col width="12" customWidth="1" style="40" min="13" max="13"/>
    <col width="12" bestFit="1" customWidth="1" style="40" min="14" max="14"/>
  </cols>
  <sheetData>
    <row r="1" ht="25.95" customHeight="1" s="40">
      <c r="A1" s="4" t="inlineStr">
        <is>
          <t>ID</t>
        </is>
      </c>
      <c r="B1" s="4" t="inlineStr">
        <is>
          <t>Código</t>
        </is>
      </c>
      <c r="C1" s="4" t="inlineStr">
        <is>
          <t>Instituição</t>
        </is>
      </c>
      <c r="D1" s="4" t="inlineStr">
        <is>
          <t>Classe</t>
        </is>
      </c>
      <c r="E1" s="4" t="inlineStr">
        <is>
          <t>Subclasse</t>
        </is>
      </c>
      <c r="F1" s="4" t="inlineStr">
        <is>
          <t>Ativo</t>
        </is>
      </c>
      <c r="G1" s="4" t="inlineStr">
        <is>
          <t>Ticker</t>
        </is>
      </c>
      <c r="H1" s="4" t="inlineStr">
        <is>
          <t>Valor Aplicado Inicial</t>
        </is>
      </c>
      <c r="I1" s="4" t="inlineStr">
        <is>
          <t>Data Entrada</t>
        </is>
      </c>
      <c r="J1" s="4" t="inlineStr">
        <is>
          <t>Moeda</t>
        </is>
      </c>
      <c r="K1" s="4" t="inlineStr">
        <is>
          <t>Ativo Ativo</t>
        </is>
      </c>
      <c r="L1" s="4" t="inlineStr">
        <is>
          <t>Observação</t>
        </is>
      </c>
    </row>
    <row r="2" ht="19.95" customHeight="1" s="40">
      <c r="A2" s="5" t="n">
        <v>1</v>
      </c>
      <c r="B2" s="6" t="inlineStr">
        <is>
          <t>MP-CONTA</t>
        </is>
      </c>
      <c r="C2" s="6" t="inlineStr">
        <is>
          <t>Mercado Pago</t>
        </is>
      </c>
      <c r="D2" s="6" t="inlineStr">
        <is>
          <t>Caixa</t>
        </is>
      </c>
      <c r="E2" s="6" t="inlineStr">
        <is>
          <t>Conta Remunerada</t>
        </is>
      </c>
      <c r="F2" s="6" t="inlineStr">
        <is>
          <t>Conta Mercado Pago</t>
        </is>
      </c>
      <c r="G2" s="5" t="inlineStr">
        <is>
          <t>MP</t>
        </is>
      </c>
      <c r="H2" s="7" t="n">
        <v>1500</v>
      </c>
      <c r="I2" s="33" t="n">
        <v>45778</v>
      </c>
      <c r="J2" s="5" t="inlineStr">
        <is>
          <t>BRL</t>
        </is>
      </c>
      <c r="K2" s="5" t="inlineStr">
        <is>
          <t>Sim</t>
        </is>
      </c>
      <c r="L2" s="6" t="inlineStr">
        <is>
          <t>Carro</t>
        </is>
      </c>
    </row>
    <row r="3" ht="19.95" customHeight="1" s="40">
      <c r="A3" s="8" t="n">
        <v>2</v>
      </c>
      <c r="B3" s="9" t="inlineStr">
        <is>
          <t>CLR-VALE3</t>
        </is>
      </c>
      <c r="C3" s="9" t="inlineStr">
        <is>
          <t>Clear</t>
        </is>
      </c>
      <c r="D3" s="9" t="inlineStr">
        <is>
          <t>Renda Variável</t>
        </is>
      </c>
      <c r="E3" s="9" t="inlineStr">
        <is>
          <t>Ações</t>
        </is>
      </c>
      <c r="F3" s="9" t="inlineStr">
        <is>
          <t>Vale ON</t>
        </is>
      </c>
      <c r="G3" s="8" t="inlineStr">
        <is>
          <t>VALE3</t>
        </is>
      </c>
      <c r="H3" s="10" t="n">
        <v>12000</v>
      </c>
      <c r="I3" s="34" t="n">
        <v>45778</v>
      </c>
      <c r="J3" s="8" t="inlineStr">
        <is>
          <t>BRL</t>
        </is>
      </c>
      <c r="K3" s="8" t="inlineStr">
        <is>
          <t>Sim</t>
        </is>
      </c>
      <c r="L3" s="9" t="inlineStr">
        <is>
          <t>Poupança</t>
        </is>
      </c>
    </row>
    <row r="4" ht="19.95" customHeight="1" s="40">
      <c r="A4" s="5" t="n">
        <v>3</v>
      </c>
      <c r="B4" s="6" t="inlineStr">
        <is>
          <t>CLR-CSMG3</t>
        </is>
      </c>
      <c r="C4" s="6" t="inlineStr">
        <is>
          <t>Clear</t>
        </is>
      </c>
      <c r="D4" s="6" t="inlineStr">
        <is>
          <t>Renda Variável</t>
        </is>
      </c>
      <c r="E4" s="6" t="inlineStr">
        <is>
          <t>Ações</t>
        </is>
      </c>
      <c r="F4" s="6" t="inlineStr">
        <is>
          <t>Copasa ON</t>
        </is>
      </c>
      <c r="G4" s="5" t="inlineStr">
        <is>
          <t>CSMG3</t>
        </is>
      </c>
      <c r="H4" s="7" t="n">
        <v>8000</v>
      </c>
      <c r="I4" s="33" t="n">
        <v>45778</v>
      </c>
      <c r="J4" s="5" t="inlineStr">
        <is>
          <t>BRL</t>
        </is>
      </c>
      <c r="K4" s="5" t="inlineStr">
        <is>
          <t>Sim</t>
        </is>
      </c>
      <c r="L4" s="6" t="inlineStr">
        <is>
          <t>Poupança</t>
        </is>
      </c>
    </row>
    <row r="5" ht="19.95" customHeight="1" s="40">
      <c r="A5" s="8" t="n">
        <v>4</v>
      </c>
      <c r="B5" s="9" t="inlineStr">
        <is>
          <t>CLR-POMO4</t>
        </is>
      </c>
      <c r="C5" s="9" t="inlineStr">
        <is>
          <t>Clear</t>
        </is>
      </c>
      <c r="D5" s="9" t="inlineStr">
        <is>
          <t>Renda Variável</t>
        </is>
      </c>
      <c r="E5" s="9" t="inlineStr">
        <is>
          <t>Ações</t>
        </is>
      </c>
      <c r="F5" s="9" t="inlineStr">
        <is>
          <t>Marcopolo PN</t>
        </is>
      </c>
      <c r="G5" s="8" t="inlineStr">
        <is>
          <t>POMO4</t>
        </is>
      </c>
      <c r="H5" s="10" t="n">
        <v>6000</v>
      </c>
      <c r="I5" s="34" t="n">
        <v>45778</v>
      </c>
      <c r="J5" s="8" t="inlineStr">
        <is>
          <t>BRL</t>
        </is>
      </c>
      <c r="K5" s="8" t="inlineStr">
        <is>
          <t>Sim</t>
        </is>
      </c>
      <c r="L5" s="9" t="inlineStr">
        <is>
          <t>Poupança</t>
        </is>
      </c>
    </row>
    <row r="6" ht="19.95" customHeight="1" s="40">
      <c r="A6" s="5" t="n">
        <v>5</v>
      </c>
      <c r="B6" s="6" t="inlineStr">
        <is>
          <t>CLR-ORVR3</t>
        </is>
      </c>
      <c r="C6" s="6" t="inlineStr">
        <is>
          <t>Clear</t>
        </is>
      </c>
      <c r="D6" s="6" t="inlineStr">
        <is>
          <t>Renda Variável</t>
        </is>
      </c>
      <c r="E6" s="6" t="inlineStr">
        <is>
          <t>Ações</t>
        </is>
      </c>
      <c r="F6" s="6" t="inlineStr">
        <is>
          <t>Orizon ON</t>
        </is>
      </c>
      <c r="G6" s="5" t="inlineStr">
        <is>
          <t>ORVR3</t>
        </is>
      </c>
      <c r="H6" s="7" t="n">
        <v>7000</v>
      </c>
      <c r="I6" s="33" t="n">
        <v>45778</v>
      </c>
      <c r="J6" s="5" t="inlineStr">
        <is>
          <t>BRL</t>
        </is>
      </c>
      <c r="K6" s="5" t="inlineStr">
        <is>
          <t>Sim</t>
        </is>
      </c>
      <c r="L6" s="6" t="inlineStr">
        <is>
          <t>Poupança</t>
        </is>
      </c>
    </row>
    <row r="7" ht="19.95" customHeight="1" s="40">
      <c r="A7" s="8" t="n">
        <v>6</v>
      </c>
      <c r="B7" s="9" t="inlineStr">
        <is>
          <t>CLR-GOLD11</t>
        </is>
      </c>
      <c r="C7" s="9" t="inlineStr">
        <is>
          <t>Clear</t>
        </is>
      </c>
      <c r="D7" s="9" t="inlineStr">
        <is>
          <t>ETF</t>
        </is>
      </c>
      <c r="E7" s="9" t="inlineStr">
        <is>
          <t>Commodities</t>
        </is>
      </c>
      <c r="F7" s="9" t="inlineStr">
        <is>
          <t>Trend Ouro ETF</t>
        </is>
      </c>
      <c r="G7" s="8" t="inlineStr">
        <is>
          <t>GOLD11</t>
        </is>
      </c>
      <c r="H7" s="10" t="n">
        <v>5000</v>
      </c>
      <c r="I7" s="34" t="n">
        <v>45778</v>
      </c>
      <c r="J7" s="8" t="inlineStr">
        <is>
          <t>BRL</t>
        </is>
      </c>
      <c r="K7" s="8" t="inlineStr">
        <is>
          <t>Sim</t>
        </is>
      </c>
      <c r="L7" s="9" t="inlineStr">
        <is>
          <t>Poupança</t>
        </is>
      </c>
    </row>
    <row r="8" ht="19.95" customHeight="1" s="40">
      <c r="A8" s="5" t="n">
        <v>7</v>
      </c>
      <c r="B8" s="6" t="inlineStr">
        <is>
          <t>XP-CDB0427</t>
        </is>
      </c>
      <c r="C8" s="6" t="inlineStr">
        <is>
          <t>XP</t>
        </is>
      </c>
      <c r="D8" s="6" t="inlineStr">
        <is>
          <t>Renda Fixa</t>
        </is>
      </c>
      <c r="E8" s="6" t="inlineStr">
        <is>
          <t>CDB</t>
        </is>
      </c>
      <c r="F8" s="6" t="inlineStr">
        <is>
          <t>Banco BBC - Grupo Simpar Abr/2027</t>
        </is>
      </c>
      <c r="G8" s="5" t="inlineStr">
        <is>
          <t>CDB0427</t>
        </is>
      </c>
      <c r="H8" s="7" t="n">
        <v>40000</v>
      </c>
      <c r="I8" s="33" t="n">
        <v>46183</v>
      </c>
      <c r="J8" s="5" t="inlineStr">
        <is>
          <t>BRL</t>
        </is>
      </c>
      <c r="K8" s="5" t="inlineStr">
        <is>
          <t>Sim</t>
        </is>
      </c>
      <c r="L8" s="6" t="inlineStr">
        <is>
          <t>Poupança</t>
        </is>
      </c>
    </row>
    <row r="9" ht="19.95" customHeight="1" s="40">
      <c r="A9" s="8" t="n">
        <v>8</v>
      </c>
      <c r="B9" s="9" t="inlineStr">
        <is>
          <t>XP-DEB2034</t>
        </is>
      </c>
      <c r="C9" s="9" t="inlineStr">
        <is>
          <t>XP</t>
        </is>
      </c>
      <c r="D9" s="9" t="inlineStr">
        <is>
          <t>Renda Fixa</t>
        </is>
      </c>
      <c r="E9" s="9" t="inlineStr">
        <is>
          <t>Debênture</t>
        </is>
      </c>
      <c r="F9" s="9" t="inlineStr">
        <is>
          <t>Petrobras Set/2034</t>
        </is>
      </c>
      <c r="G9" s="8" t="inlineStr">
        <is>
          <t>PETR2034</t>
        </is>
      </c>
      <c r="H9" s="10" t="n">
        <v>25000</v>
      </c>
      <c r="I9" s="34" t="n">
        <v>43747</v>
      </c>
      <c r="J9" s="8" t="inlineStr">
        <is>
          <t>BRL</t>
        </is>
      </c>
      <c r="K9" s="8" t="inlineStr">
        <is>
          <t>Sim</t>
        </is>
      </c>
      <c r="L9" s="9" t="inlineStr">
        <is>
          <t>Poupança</t>
        </is>
      </c>
    </row>
    <row r="10" ht="19.95" customHeight="1" s="40">
      <c r="A10" s="5" t="n">
        <v>9</v>
      </c>
      <c r="B10" s="6" t="inlineStr">
        <is>
          <t>XP-IPCA2032</t>
        </is>
      </c>
      <c r="C10" s="6" t="inlineStr">
        <is>
          <t>XP</t>
        </is>
      </c>
      <c r="D10" s="6" t="inlineStr">
        <is>
          <t>Tesouro Direto</t>
        </is>
      </c>
      <c r="E10" s="6" t="inlineStr">
        <is>
          <t>IPCA+ JS</t>
        </is>
      </c>
      <c r="F10" s="6" t="inlineStr">
        <is>
          <t>Tesouro IPCA+ 2032 JS</t>
        </is>
      </c>
      <c r="G10" s="5" t="inlineStr">
        <is>
          <t>NTNB2032</t>
        </is>
      </c>
      <c r="H10" s="7" t="n">
        <v>15000</v>
      </c>
      <c r="I10" s="33" t="n">
        <v>45153</v>
      </c>
      <c r="J10" s="5" t="inlineStr">
        <is>
          <t>BRL</t>
        </is>
      </c>
      <c r="K10" s="5" t="inlineStr">
        <is>
          <t>Sim</t>
        </is>
      </c>
      <c r="L10" s="6" t="inlineStr">
        <is>
          <t>Poupança</t>
        </is>
      </c>
    </row>
    <row r="11" ht="19.95" customHeight="1" s="40">
      <c r="A11" s="8" t="n">
        <v>10</v>
      </c>
      <c r="B11" s="9" t="inlineStr">
        <is>
          <t>XP-IPCA2035</t>
        </is>
      </c>
      <c r="C11" s="9" t="inlineStr">
        <is>
          <t>XP</t>
        </is>
      </c>
      <c r="D11" s="9" t="inlineStr">
        <is>
          <t>Tesouro Direto</t>
        </is>
      </c>
      <c r="E11" s="9" t="inlineStr">
        <is>
          <t>IPCA+</t>
        </is>
      </c>
      <c r="F11" s="9" t="inlineStr">
        <is>
          <t>Tesouro IPCA+ 2035</t>
        </is>
      </c>
      <c r="G11" s="8" t="inlineStr">
        <is>
          <t>NTNB2035</t>
        </is>
      </c>
      <c r="H11" s="10" t="n">
        <v>10000</v>
      </c>
      <c r="I11" s="34" t="n">
        <v>44347</v>
      </c>
      <c r="J11" s="8" t="inlineStr">
        <is>
          <t>BRL</t>
        </is>
      </c>
      <c r="K11" s="8" t="inlineStr">
        <is>
          <t>Sim</t>
        </is>
      </c>
      <c r="L11" s="9" t="inlineStr">
        <is>
          <t>Poupança</t>
        </is>
      </c>
    </row>
    <row r="12" ht="19.95" customHeight="1" s="40">
      <c r="A12" s="5" t="n">
        <v>11</v>
      </c>
      <c r="B12" s="6" t="inlineStr">
        <is>
          <t>XP-IPCA2026</t>
        </is>
      </c>
      <c r="C12" s="6" t="inlineStr">
        <is>
          <t>XP</t>
        </is>
      </c>
      <c r="D12" s="6" t="inlineStr">
        <is>
          <t>Tesouro Direto</t>
        </is>
      </c>
      <c r="E12" s="6" t="inlineStr">
        <is>
          <t>IPCA+</t>
        </is>
      </c>
      <c r="F12" s="6" t="inlineStr">
        <is>
          <t>Tesouro IPCA+ 2026</t>
        </is>
      </c>
      <c r="G12" s="5" t="inlineStr">
        <is>
          <t>NTNB2026</t>
        </is>
      </c>
      <c r="H12" s="7" t="n">
        <v>5000</v>
      </c>
      <c r="I12" s="33" t="n">
        <v>44202</v>
      </c>
      <c r="J12" s="5" t="inlineStr">
        <is>
          <t>BRL</t>
        </is>
      </c>
      <c r="K12" s="5" t="inlineStr">
        <is>
          <t>Sim</t>
        </is>
      </c>
      <c r="L12" s="6" t="inlineStr">
        <is>
          <t>Poupança</t>
        </is>
      </c>
    </row>
    <row r="13" ht="19.95" customHeight="1" s="40">
      <c r="A13" s="8" t="n">
        <v>12</v>
      </c>
      <c r="B13" s="9" t="inlineStr">
        <is>
          <t>XP-VGHF11</t>
        </is>
      </c>
      <c r="C13" s="9" t="inlineStr">
        <is>
          <t>XP</t>
        </is>
      </c>
      <c r="D13" s="9" t="inlineStr">
        <is>
          <t>Renda Variável</t>
        </is>
      </c>
      <c r="E13" s="9" t="inlineStr">
        <is>
          <t>FII</t>
        </is>
      </c>
      <c r="F13" s="9" t="inlineStr">
        <is>
          <t>Valora Hedge Fund FII</t>
        </is>
      </c>
      <c r="G13" s="8" t="inlineStr">
        <is>
          <t>VGHF11</t>
        </is>
      </c>
      <c r="H13" s="10" t="n">
        <v>10000</v>
      </c>
      <c r="I13" s="34" t="n">
        <v>45778</v>
      </c>
      <c r="J13" s="8" t="inlineStr">
        <is>
          <t>BRL</t>
        </is>
      </c>
      <c r="K13" s="8" t="inlineStr">
        <is>
          <t>Sim</t>
        </is>
      </c>
      <c r="L13" s="9" t="inlineStr">
        <is>
          <t>Poupança</t>
        </is>
      </c>
    </row>
    <row r="14" ht="19.95" customHeight="1" s="40">
      <c r="A14" s="5" t="n">
        <v>13</v>
      </c>
      <c r="B14" s="6" t="inlineStr">
        <is>
          <t>XP-RBRY11</t>
        </is>
      </c>
      <c r="C14" s="6" t="inlineStr">
        <is>
          <t>XP</t>
        </is>
      </c>
      <c r="D14" s="6" t="inlineStr">
        <is>
          <t>Renda Variável</t>
        </is>
      </c>
      <c r="E14" s="6" t="inlineStr">
        <is>
          <t>FII</t>
        </is>
      </c>
      <c r="F14" s="6" t="inlineStr">
        <is>
          <t>RBR High Yield FII</t>
        </is>
      </c>
      <c r="G14" s="5" t="inlineStr">
        <is>
          <t>RBRY11</t>
        </is>
      </c>
      <c r="H14" s="7" t="n">
        <v>10000</v>
      </c>
      <c r="I14" s="33" t="n">
        <v>45778</v>
      </c>
      <c r="J14" s="5" t="inlineStr">
        <is>
          <t>BRL</t>
        </is>
      </c>
      <c r="K14" s="5" t="inlineStr">
        <is>
          <t>Sim</t>
        </is>
      </c>
      <c r="L14" s="6" t="inlineStr">
        <is>
          <t>Poupança</t>
        </is>
      </c>
    </row>
    <row r="15" ht="19.95" customHeight="1" s="40">
      <c r="A15" s="8" t="n">
        <v>14</v>
      </c>
      <c r="B15" s="9" t="inlineStr">
        <is>
          <t>XP-MFII11</t>
        </is>
      </c>
      <c r="C15" s="9" t="inlineStr">
        <is>
          <t>XP</t>
        </is>
      </c>
      <c r="D15" s="9" t="inlineStr">
        <is>
          <t>Renda Variável</t>
        </is>
      </c>
      <c r="E15" s="9" t="inlineStr">
        <is>
          <t>FII</t>
        </is>
      </c>
      <c r="F15" s="9" t="inlineStr">
        <is>
          <t>Mérito Desenv. Imobiliário FII</t>
        </is>
      </c>
      <c r="G15" s="8" t="inlineStr">
        <is>
          <t>MFII11</t>
        </is>
      </c>
      <c r="H15" s="10" t="n">
        <v>10000</v>
      </c>
      <c r="I15" s="34" t="n">
        <v>45778</v>
      </c>
      <c r="J15" s="8" t="inlineStr">
        <is>
          <t>BRL</t>
        </is>
      </c>
      <c r="K15" s="8" t="inlineStr">
        <is>
          <t>Sim</t>
        </is>
      </c>
      <c r="L15" s="9" t="inlineStr">
        <is>
          <t>Poupança</t>
        </is>
      </c>
    </row>
    <row r="16" ht="19.95" customHeight="1" s="40">
      <c r="A16" s="5" t="n">
        <v>15</v>
      </c>
      <c r="B16" s="6" t="inlineStr">
        <is>
          <t>BIN-BTC</t>
        </is>
      </c>
      <c r="C16" s="6" t="inlineStr">
        <is>
          <t>Binance</t>
        </is>
      </c>
      <c r="D16" s="6" t="inlineStr">
        <is>
          <t>Cripto</t>
        </is>
      </c>
      <c r="E16" s="6" t="inlineStr">
        <is>
          <t>Criptomoeda</t>
        </is>
      </c>
      <c r="F16" s="6" t="inlineStr">
        <is>
          <t>Bitcoin</t>
        </is>
      </c>
      <c r="G16" s="5" t="inlineStr">
        <is>
          <t>BTC</t>
        </is>
      </c>
      <c r="H16" s="7" t="n">
        <v>12000</v>
      </c>
      <c r="I16" s="33" t="n">
        <v>45778</v>
      </c>
      <c r="J16" s="5" t="inlineStr">
        <is>
          <t>BRL</t>
        </is>
      </c>
      <c r="K16" s="5" t="inlineStr">
        <is>
          <t>Sim</t>
        </is>
      </c>
      <c r="L16" s="6" t="inlineStr">
        <is>
          <t>Poupança</t>
        </is>
      </c>
    </row>
    <row r="17" ht="19.95" customHeight="1" s="40">
      <c r="A17" s="8" t="n">
        <v>16</v>
      </c>
      <c r="B17" s="9" t="inlineStr">
        <is>
          <t>BIN-SUI</t>
        </is>
      </c>
      <c r="C17" s="9" t="inlineStr">
        <is>
          <t>Binance</t>
        </is>
      </c>
      <c r="D17" s="9" t="inlineStr">
        <is>
          <t>Cripto</t>
        </is>
      </c>
      <c r="E17" s="9" t="inlineStr">
        <is>
          <t>Criptomoeda</t>
        </is>
      </c>
      <c r="F17" s="9" t="inlineStr">
        <is>
          <t>Sui</t>
        </is>
      </c>
      <c r="G17" s="8" t="inlineStr">
        <is>
          <t>SUI</t>
        </is>
      </c>
      <c r="H17" s="10" t="n">
        <v>2000</v>
      </c>
      <c r="I17" s="34" t="n">
        <v>45778</v>
      </c>
      <c r="J17" s="8" t="inlineStr">
        <is>
          <t>BRL</t>
        </is>
      </c>
      <c r="K17" s="8" t="inlineStr">
        <is>
          <t>Sim</t>
        </is>
      </c>
      <c r="L17" s="9" t="inlineStr">
        <is>
          <t>Poupança</t>
        </is>
      </c>
    </row>
    <row r="18" ht="19.95" customHeight="1" s="40">
      <c r="A18" s="5" t="n">
        <v>17</v>
      </c>
      <c r="B18" s="6" t="inlineStr">
        <is>
          <t>BIN-AVAX</t>
        </is>
      </c>
      <c r="C18" s="6" t="inlineStr">
        <is>
          <t>Binance</t>
        </is>
      </c>
      <c r="D18" s="6" t="inlineStr">
        <is>
          <t>Cripto</t>
        </is>
      </c>
      <c r="E18" s="6" t="inlineStr">
        <is>
          <t>Criptomoeda</t>
        </is>
      </c>
      <c r="F18" s="6" t="inlineStr">
        <is>
          <t>Avalanche</t>
        </is>
      </c>
      <c r="G18" s="5" t="inlineStr">
        <is>
          <t>AVAX</t>
        </is>
      </c>
      <c r="H18" s="7" t="n">
        <v>2000</v>
      </c>
      <c r="I18" s="33" t="n">
        <v>45778</v>
      </c>
      <c r="J18" s="5" t="inlineStr">
        <is>
          <t>BRL</t>
        </is>
      </c>
      <c r="K18" s="5" t="inlineStr">
        <is>
          <t>Sim</t>
        </is>
      </c>
      <c r="L18" s="6" t="inlineStr">
        <is>
          <t>Poupança</t>
        </is>
      </c>
    </row>
    <row r="19" ht="19.95" customHeight="1" s="40">
      <c r="A19" s="8" t="n">
        <v>18</v>
      </c>
      <c r="B19" s="9" t="inlineStr">
        <is>
          <t>BIN-ETH</t>
        </is>
      </c>
      <c r="C19" s="9" t="inlineStr">
        <is>
          <t>Binance</t>
        </is>
      </c>
      <c r="D19" s="9" t="inlineStr">
        <is>
          <t>Cripto</t>
        </is>
      </c>
      <c r="E19" s="9" t="inlineStr">
        <is>
          <t>Criptomoeda</t>
        </is>
      </c>
      <c r="F19" s="9" t="inlineStr">
        <is>
          <t>Ethereum</t>
        </is>
      </c>
      <c r="G19" s="8" t="inlineStr">
        <is>
          <t>ETH</t>
        </is>
      </c>
      <c r="H19" s="10" t="n">
        <v>5000</v>
      </c>
      <c r="I19" s="34" t="n">
        <v>45778</v>
      </c>
      <c r="J19" s="8" t="inlineStr">
        <is>
          <t>BRL</t>
        </is>
      </c>
      <c r="K19" s="8" t="inlineStr">
        <is>
          <t>Sim</t>
        </is>
      </c>
      <c r="L19" s="9" t="inlineStr">
        <is>
          <t>Poupança</t>
        </is>
      </c>
    </row>
    <row r="20" ht="19.95" customHeight="1" s="40">
      <c r="A20" s="5" t="n">
        <v>19</v>
      </c>
      <c r="B20" s="6" t="inlineStr">
        <is>
          <t>BIN-SOL</t>
        </is>
      </c>
      <c r="C20" s="6" t="inlineStr">
        <is>
          <t>Binance</t>
        </is>
      </c>
      <c r="D20" s="6" t="inlineStr">
        <is>
          <t>Cripto</t>
        </is>
      </c>
      <c r="E20" s="6" t="inlineStr">
        <is>
          <t>Criptomoeda</t>
        </is>
      </c>
      <c r="F20" s="6" t="inlineStr">
        <is>
          <t>Solana</t>
        </is>
      </c>
      <c r="G20" s="5" t="inlineStr">
        <is>
          <t>SOL</t>
        </is>
      </c>
      <c r="H20" s="7" t="n">
        <v>3000</v>
      </c>
      <c r="I20" s="33" t="n">
        <v>45778</v>
      </c>
      <c r="J20" s="5" t="inlineStr">
        <is>
          <t>BRL</t>
        </is>
      </c>
      <c r="K20" s="5" t="inlineStr">
        <is>
          <t>Sim</t>
        </is>
      </c>
      <c r="L20" s="6" t="inlineStr">
        <is>
          <t>Poupança</t>
        </is>
      </c>
    </row>
    <row r="21" ht="19.95" customHeight="1" s="40">
      <c r="A21" s="8" t="n">
        <v>20</v>
      </c>
      <c r="B21" s="9" t="inlineStr">
        <is>
          <t>AVE-DIS</t>
        </is>
      </c>
      <c r="C21" s="9" t="inlineStr">
        <is>
          <t>Avenue</t>
        </is>
      </c>
      <c r="D21" s="9" t="inlineStr">
        <is>
          <t>Exterior</t>
        </is>
      </c>
      <c r="E21" s="9" t="inlineStr">
        <is>
          <t>Ações EUA</t>
        </is>
      </c>
      <c r="F21" s="9" t="inlineStr">
        <is>
          <t>The Walt Disney Company</t>
        </is>
      </c>
      <c r="G21" s="8" t="inlineStr">
        <is>
          <t>DIS</t>
        </is>
      </c>
      <c r="H21" s="10" t="n">
        <v>2000</v>
      </c>
      <c r="I21" s="34" t="n">
        <v>45778</v>
      </c>
      <c r="J21" s="8" t="inlineStr">
        <is>
          <t>USD</t>
        </is>
      </c>
      <c r="K21" s="8" t="inlineStr">
        <is>
          <t>Sim</t>
        </is>
      </c>
      <c r="L21" s="9" t="inlineStr">
        <is>
          <t>Poupança</t>
        </is>
      </c>
    </row>
    <row r="22" ht="19.95" customHeight="1" s="40">
      <c r="A22" s="5" t="n">
        <v>21</v>
      </c>
      <c r="B22" s="6" t="inlineStr">
        <is>
          <t>AVE-GOOGL</t>
        </is>
      </c>
      <c r="C22" s="6" t="inlineStr">
        <is>
          <t>Avenue</t>
        </is>
      </c>
      <c r="D22" s="6" t="inlineStr">
        <is>
          <t>Exterior</t>
        </is>
      </c>
      <c r="E22" s="6" t="inlineStr">
        <is>
          <t>Ações EUA</t>
        </is>
      </c>
      <c r="F22" s="6" t="inlineStr">
        <is>
          <t>Alphabet Inc (Google)</t>
        </is>
      </c>
      <c r="G22" s="5" t="inlineStr">
        <is>
          <t>GOOGL</t>
        </is>
      </c>
      <c r="H22" s="7" t="n">
        <v>3000</v>
      </c>
      <c r="I22" s="33" t="n">
        <v>45778</v>
      </c>
      <c r="J22" s="5" t="inlineStr">
        <is>
          <t>USD</t>
        </is>
      </c>
      <c r="K22" s="5" t="inlineStr">
        <is>
          <t>Sim</t>
        </is>
      </c>
      <c r="L22" s="6" t="inlineStr">
        <is>
          <t>Poupança</t>
        </is>
      </c>
    </row>
    <row r="23" ht="19.95" customHeight="1" s="40">
      <c r="A23" s="8" t="n">
        <v>22</v>
      </c>
      <c r="B23" s="9" t="inlineStr">
        <is>
          <t>AVE-MSFT</t>
        </is>
      </c>
      <c r="C23" s="9" t="inlineStr">
        <is>
          <t>Avenue</t>
        </is>
      </c>
      <c r="D23" s="9" t="inlineStr">
        <is>
          <t>Exterior</t>
        </is>
      </c>
      <c r="E23" s="9" t="inlineStr">
        <is>
          <t>Ações EUA</t>
        </is>
      </c>
      <c r="F23" s="9" t="inlineStr">
        <is>
          <t>Microsoft Corp</t>
        </is>
      </c>
      <c r="G23" s="8" t="inlineStr">
        <is>
          <t>MSFT</t>
        </is>
      </c>
      <c r="H23" s="10" t="n">
        <v>3000</v>
      </c>
      <c r="I23" s="34" t="n">
        <v>45778</v>
      </c>
      <c r="J23" s="8" t="inlineStr">
        <is>
          <t>USD</t>
        </is>
      </c>
      <c r="K23" s="8" t="inlineStr">
        <is>
          <t>Sim</t>
        </is>
      </c>
      <c r="L23" s="9" t="inlineStr">
        <is>
          <t>Poupança</t>
        </is>
      </c>
    </row>
    <row r="24" ht="19.95" customHeight="1" s="40">
      <c r="A24" s="5" t="n">
        <v>23</v>
      </c>
      <c r="B24" s="6" t="inlineStr">
        <is>
          <t>AVE-SHOP</t>
        </is>
      </c>
      <c r="C24" s="6" t="inlineStr">
        <is>
          <t>Avenue</t>
        </is>
      </c>
      <c r="D24" s="6" t="inlineStr">
        <is>
          <t>Exterior</t>
        </is>
      </c>
      <c r="E24" s="6" t="inlineStr">
        <is>
          <t>Ações EUA</t>
        </is>
      </c>
      <c r="F24" s="6" t="inlineStr">
        <is>
          <t>Shopify Inc</t>
        </is>
      </c>
      <c r="G24" s="5" t="inlineStr">
        <is>
          <t>SHOP</t>
        </is>
      </c>
      <c r="H24" s="7" t="n">
        <v>1500</v>
      </c>
      <c r="I24" s="33" t="n">
        <v>45778</v>
      </c>
      <c r="J24" s="5" t="inlineStr">
        <is>
          <t>USD</t>
        </is>
      </c>
      <c r="K24" s="5" t="inlineStr">
        <is>
          <t>Sim</t>
        </is>
      </c>
      <c r="L24" s="6" t="inlineStr">
        <is>
          <t>Poupança</t>
        </is>
      </c>
    </row>
    <row r="25" ht="19.95" customHeight="1" s="40">
      <c r="A25" s="8" t="n">
        <v>24</v>
      </c>
      <c r="B25" s="9" t="inlineStr">
        <is>
          <t>AVE-BLOK</t>
        </is>
      </c>
      <c r="C25" s="9" t="inlineStr">
        <is>
          <t>Avenue</t>
        </is>
      </c>
      <c r="D25" s="9" t="inlineStr">
        <is>
          <t>Exterior</t>
        </is>
      </c>
      <c r="E25" s="9" t="inlineStr">
        <is>
          <t>ETF EUA</t>
        </is>
      </c>
      <c r="F25" s="9" t="inlineStr">
        <is>
          <t>Amplify Transformational Data (BLOK)</t>
        </is>
      </c>
      <c r="G25" s="8" t="inlineStr">
        <is>
          <t>BLOK</t>
        </is>
      </c>
      <c r="H25" s="10" t="n">
        <v>1500</v>
      </c>
      <c r="I25" s="34" t="n">
        <v>45778</v>
      </c>
      <c r="J25" s="8" t="inlineStr">
        <is>
          <t>USD</t>
        </is>
      </c>
      <c r="K25" s="8" t="inlineStr">
        <is>
          <t>Sim</t>
        </is>
      </c>
      <c r="L25" s="9" t="inlineStr">
        <is>
          <t>Poupança</t>
        </is>
      </c>
    </row>
    <row r="26" ht="19.95" customHeight="1" s="40">
      <c r="A26" s="5" t="n">
        <v>25</v>
      </c>
      <c r="B26" s="6" t="inlineStr">
        <is>
          <t>AVE-IWM</t>
        </is>
      </c>
      <c r="C26" s="6" t="inlineStr">
        <is>
          <t>Avenue</t>
        </is>
      </c>
      <c r="D26" s="6" t="inlineStr">
        <is>
          <t>Exterior</t>
        </is>
      </c>
      <c r="E26" s="6" t="inlineStr">
        <is>
          <t>ETF EUA</t>
        </is>
      </c>
      <c r="F26" s="6" t="inlineStr">
        <is>
          <t>iShares Russell 2000 (IWM)</t>
        </is>
      </c>
      <c r="G26" s="5" t="inlineStr">
        <is>
          <t>IWM</t>
        </is>
      </c>
      <c r="H26" s="7" t="n">
        <v>2000</v>
      </c>
      <c r="I26" s="33" t="n">
        <v>45778</v>
      </c>
      <c r="J26" s="5" t="inlineStr">
        <is>
          <t>USD</t>
        </is>
      </c>
      <c r="K26" s="5" t="inlineStr">
        <is>
          <t>Sim</t>
        </is>
      </c>
      <c r="L26" s="6" t="inlineStr">
        <is>
          <t>Poupança</t>
        </is>
      </c>
    </row>
    <row r="27" ht="19.95" customHeight="1" s="40">
      <c r="A27" s="8" t="n">
        <v>26</v>
      </c>
      <c r="B27" s="9" t="inlineStr">
        <is>
          <t>WISE-USD</t>
        </is>
      </c>
      <c r="C27" s="9" t="inlineStr">
        <is>
          <t>Wise</t>
        </is>
      </c>
      <c r="D27" s="9" t="inlineStr">
        <is>
          <t>Moeda</t>
        </is>
      </c>
      <c r="E27" s="9" t="inlineStr">
        <is>
          <t>Saldo em Conta</t>
        </is>
      </c>
      <c r="F27" s="9" t="inlineStr">
        <is>
          <t>Dólar Americano (Conta Wise)</t>
        </is>
      </c>
      <c r="G27" s="8" t="inlineStr">
        <is>
          <t>USD</t>
        </is>
      </c>
      <c r="H27" s="10" t="n">
        <v>1000</v>
      </c>
      <c r="I27" s="34" t="n">
        <v>45047</v>
      </c>
      <c r="J27" s="8" t="inlineStr">
        <is>
          <t>USD</t>
        </is>
      </c>
      <c r="K27" s="8" t="inlineStr">
        <is>
          <t>Sim</t>
        </is>
      </c>
      <c r="L27" s="9" t="inlineStr">
        <is>
          <t>Poupança</t>
        </is>
      </c>
    </row>
    <row r="28" ht="19.95" customHeight="1" s="40">
      <c r="A28" s="5" t="n">
        <v>27</v>
      </c>
      <c r="B28" s="6" t="inlineStr">
        <is>
          <t>WISE-GBP</t>
        </is>
      </c>
      <c r="C28" s="6" t="inlineStr">
        <is>
          <t>Wise</t>
        </is>
      </c>
      <c r="D28" s="6" t="inlineStr">
        <is>
          <t>Moeda</t>
        </is>
      </c>
      <c r="E28" s="6" t="inlineStr">
        <is>
          <t>Saldo em Conta</t>
        </is>
      </c>
      <c r="F28" s="6" t="inlineStr">
        <is>
          <t>Libra Esterlina (Conta Wise)</t>
        </is>
      </c>
      <c r="G28" s="5" t="inlineStr">
        <is>
          <t>GBP</t>
        </is>
      </c>
      <c r="H28" s="7" t="n">
        <v>500</v>
      </c>
      <c r="I28" s="33" t="n">
        <v>45047</v>
      </c>
      <c r="J28" s="5" t="inlineStr">
        <is>
          <t>GBP</t>
        </is>
      </c>
      <c r="K28" s="5" t="inlineStr">
        <is>
          <t>Sim</t>
        </is>
      </c>
      <c r="L28" s="6" t="inlineStr">
        <is>
          <t>Poupança</t>
        </is>
      </c>
    </row>
    <row r="29" ht="19.95" customHeight="1" s="40">
      <c r="A29" s="8" t="n">
        <v>28</v>
      </c>
      <c r="B29" s="9" t="inlineStr">
        <is>
          <t>C6-CDB</t>
        </is>
      </c>
      <c r="C29" s="9" t="inlineStr">
        <is>
          <t>C6</t>
        </is>
      </c>
      <c r="D29" s="9" t="inlineStr">
        <is>
          <t>Renda Fixa</t>
        </is>
      </c>
      <c r="E29" s="9" t="inlineStr">
        <is>
          <t>CDB</t>
        </is>
      </c>
      <c r="F29" s="9" t="inlineStr">
        <is>
          <t>CDB C6 Pós-Fixado Liq. Diária</t>
        </is>
      </c>
      <c r="G29" s="8" t="inlineStr">
        <is>
          <t>CDBC6</t>
        </is>
      </c>
      <c r="H29" s="10" t="n">
        <v>30000</v>
      </c>
      <c r="I29" s="34" t="n">
        <v>46213</v>
      </c>
      <c r="J29" s="8" t="inlineStr">
        <is>
          <t>BRL</t>
        </is>
      </c>
      <c r="K29" s="8" t="inlineStr">
        <is>
          <t>Sim</t>
        </is>
      </c>
      <c r="L29" s="9" t="inlineStr">
        <is>
          <t>300K</t>
        </is>
      </c>
    </row>
    <row r="30" ht="19.95" customHeight="1" s="40">
      <c r="A30" s="5" t="n">
        <v>29</v>
      </c>
      <c r="B30" s="6" t="inlineStr">
        <is>
          <t>C6-CDI</t>
        </is>
      </c>
      <c r="C30" s="6" t="inlineStr">
        <is>
          <t>C6</t>
        </is>
      </c>
      <c r="D30" s="6" t="inlineStr">
        <is>
          <t>Renda Fixa</t>
        </is>
      </c>
      <c r="E30" s="6" t="inlineStr">
        <is>
          <t>CDI</t>
        </is>
      </c>
      <c r="F30" s="6" t="inlineStr">
        <is>
          <t>CDI C6 Renda Fixa</t>
        </is>
      </c>
      <c r="G30" s="5" t="inlineStr">
        <is>
          <t>CDIC6</t>
        </is>
      </c>
      <c r="H30" s="7" t="n">
        <v>15000</v>
      </c>
      <c r="I30" s="33" t="n">
        <v>46235</v>
      </c>
      <c r="J30" s="5" t="inlineStr">
        <is>
          <t>BRL</t>
        </is>
      </c>
      <c r="K30" s="5" t="inlineStr">
        <is>
          <t>Sim</t>
        </is>
      </c>
      <c r="L30" s="6" t="inlineStr">
        <is>
          <t>300k</t>
        </is>
      </c>
    </row>
    <row r="31" ht="19.95" customHeight="1" s="40">
      <c r="A31" s="8" t="n">
        <v>30</v>
      </c>
      <c r="B31" s="9" t="inlineStr">
        <is>
          <t>AVE-VOO</t>
        </is>
      </c>
      <c r="C31" s="9" t="inlineStr">
        <is>
          <t>Avenue</t>
        </is>
      </c>
      <c r="D31" s="9" t="inlineStr">
        <is>
          <t>Exterior</t>
        </is>
      </c>
      <c r="E31" s="9" t="inlineStr">
        <is>
          <t>ETF EUA</t>
        </is>
      </c>
      <c r="F31" s="9" t="inlineStr">
        <is>
          <t>Vanguard S&amp;P 500 (VOO)</t>
        </is>
      </c>
      <c r="G31" s="8" t="inlineStr">
        <is>
          <t>VOO</t>
        </is>
      </c>
      <c r="H31" s="10" t="n">
        <v>4000</v>
      </c>
      <c r="I31" s="34" t="n">
        <v>46266</v>
      </c>
      <c r="J31" s="8" t="inlineStr">
        <is>
          <t>USD</t>
        </is>
      </c>
      <c r="K31" s="8" t="inlineStr">
        <is>
          <t>Sim</t>
        </is>
      </c>
      <c r="L31" s="9" t="inlineStr">
        <is>
          <t>300k</t>
        </is>
      </c>
    </row>
    <row r="32" ht="19.95" customHeight="1" s="40">
      <c r="A32" s="5" t="n">
        <v>31</v>
      </c>
      <c r="B32" s="6" t="inlineStr">
        <is>
          <t>AVE-GOOGL-300K</t>
        </is>
      </c>
      <c r="C32" s="6" t="inlineStr">
        <is>
          <t>Avenue</t>
        </is>
      </c>
      <c r="D32" s="6" t="inlineStr">
        <is>
          <t>Exterior</t>
        </is>
      </c>
      <c r="E32" s="6" t="inlineStr">
        <is>
          <t>Ações EUA</t>
        </is>
      </c>
      <c r="F32" s="6" t="inlineStr">
        <is>
          <t>Alphabet Inc (Google) - Carteira 300k</t>
        </is>
      </c>
      <c r="G32" s="5" t="inlineStr">
        <is>
          <t>GOOGL</t>
        </is>
      </c>
      <c r="H32" s="7" t="n">
        <v>2000</v>
      </c>
      <c r="I32" s="33" t="n">
        <v>46266</v>
      </c>
      <c r="J32" s="5" t="inlineStr">
        <is>
          <t>USD</t>
        </is>
      </c>
      <c r="K32" s="5" t="inlineStr">
        <is>
          <t>Sim</t>
        </is>
      </c>
      <c r="L32" s="6" t="inlineStr">
        <is>
          <t>300k</t>
        </is>
      </c>
    </row>
    <row r="33" ht="19.95" customHeight="1" s="40">
      <c r="A33" s="8" t="n">
        <v>32</v>
      </c>
      <c r="B33" s="9" t="inlineStr">
        <is>
          <t>AVE-MSFT-300K</t>
        </is>
      </c>
      <c r="C33" s="9" t="inlineStr">
        <is>
          <t>Avenue</t>
        </is>
      </c>
      <c r="D33" s="9" t="inlineStr">
        <is>
          <t>Exterior</t>
        </is>
      </c>
      <c r="E33" s="9" t="inlineStr">
        <is>
          <t>Ações EUA</t>
        </is>
      </c>
      <c r="F33" s="9" t="inlineStr">
        <is>
          <t>Microsoft Corp - Carteira 300k</t>
        </is>
      </c>
      <c r="G33" s="8" t="inlineStr">
        <is>
          <t>MSFT</t>
        </is>
      </c>
      <c r="H33" s="10" t="n">
        <v>2000</v>
      </c>
      <c r="I33" s="34" t="n">
        <v>46266</v>
      </c>
      <c r="J33" s="8" t="inlineStr">
        <is>
          <t>USD</t>
        </is>
      </c>
      <c r="K33" s="8" t="inlineStr">
        <is>
          <t>Sim</t>
        </is>
      </c>
      <c r="L33" s="9" t="inlineStr">
        <is>
          <t>300k</t>
        </is>
      </c>
    </row>
    <row r="34" ht="19.95" customHeight="1" s="40">
      <c r="A34" s="5" t="n">
        <v>33</v>
      </c>
      <c r="B34" s="6" t="inlineStr">
        <is>
          <t>AVE-DIS-300K</t>
        </is>
      </c>
      <c r="C34" s="6" t="inlineStr">
        <is>
          <t>Avenue</t>
        </is>
      </c>
      <c r="D34" s="6" t="inlineStr">
        <is>
          <t>Exterior</t>
        </is>
      </c>
      <c r="E34" s="6" t="inlineStr">
        <is>
          <t>Ações EUA</t>
        </is>
      </c>
      <c r="F34" s="6" t="inlineStr">
        <is>
          <t>The Walt Disney Company - Carteira 300k</t>
        </is>
      </c>
      <c r="G34" s="5" t="inlineStr">
        <is>
          <t>DIS</t>
        </is>
      </c>
      <c r="H34" s="7" t="n">
        <v>1500</v>
      </c>
      <c r="I34" s="33" t="n">
        <v>46266</v>
      </c>
      <c r="J34" s="5" t="inlineStr">
        <is>
          <t>USD</t>
        </is>
      </c>
      <c r="K34" s="5" t="inlineStr">
        <is>
          <t>Sim</t>
        </is>
      </c>
      <c r="L34" s="6" t="inlineStr">
        <is>
          <t>300k</t>
        </is>
      </c>
    </row>
    <row r="35" ht="19.95" customHeight="1" s="40">
      <c r="A35" s="8" t="n">
        <v>34</v>
      </c>
      <c r="B35" s="9" t="inlineStr">
        <is>
          <t>AVE-IWM-300K</t>
        </is>
      </c>
      <c r="C35" s="9" t="inlineStr">
        <is>
          <t>Avenue</t>
        </is>
      </c>
      <c r="D35" s="9" t="inlineStr">
        <is>
          <t>Exterior</t>
        </is>
      </c>
      <c r="E35" s="9" t="inlineStr">
        <is>
          <t>ETF EUA</t>
        </is>
      </c>
      <c r="F35" s="9" t="inlineStr">
        <is>
          <t>iShares Russell 2000 - Carteira 300k</t>
        </is>
      </c>
      <c r="G35" s="8" t="inlineStr">
        <is>
          <t>IWM</t>
        </is>
      </c>
      <c r="H35" s="10" t="n">
        <v>1500</v>
      </c>
      <c r="I35" s="34" t="n">
        <v>46266</v>
      </c>
      <c r="J35" s="8" t="inlineStr">
        <is>
          <t>USD</t>
        </is>
      </c>
      <c r="K35" s="8" t="inlineStr">
        <is>
          <t>Sim</t>
        </is>
      </c>
      <c r="L35" s="9" t="inlineStr">
        <is>
          <t>300k</t>
        </is>
      </c>
    </row>
    <row r="36" ht="19.95" customHeight="1" s="40">
      <c r="A36" s="5" t="n">
        <v>35</v>
      </c>
      <c r="B36" s="6" t="inlineStr">
        <is>
          <t>XP-CDBVW</t>
        </is>
      </c>
      <c r="C36" s="6" t="inlineStr">
        <is>
          <t>XP</t>
        </is>
      </c>
      <c r="D36" s="6" t="inlineStr">
        <is>
          <t>Renda Fixa</t>
        </is>
      </c>
      <c r="E36" s="6" t="inlineStr">
        <is>
          <t>CDB</t>
        </is>
      </c>
      <c r="F36" s="6" t="inlineStr">
        <is>
          <t>Banco Volkswagen Ago/2027 102%CDI</t>
        </is>
      </c>
      <c r="G36" s="5" t="inlineStr">
        <is>
          <t>CDBVW</t>
        </is>
      </c>
      <c r="H36" s="7" t="n">
        <v>20000</v>
      </c>
      <c r="I36" s="33" t="n">
        <v>46268</v>
      </c>
      <c r="J36" s="5" t="inlineStr">
        <is>
          <t>BRL</t>
        </is>
      </c>
      <c r="K36" s="5" t="inlineStr">
        <is>
          <t>Sim</t>
        </is>
      </c>
      <c r="L36" s="6" t="inlineStr">
        <is>
          <t>300k</t>
        </is>
      </c>
    </row>
    <row r="37" ht="19.95" customHeight="1" s="40">
      <c r="A37" s="8" t="n">
        <v>36</v>
      </c>
      <c r="B37" s="9" t="inlineStr">
        <is>
          <t>XP-CDBCW</t>
        </is>
      </c>
      <c r="C37" s="9" t="inlineStr">
        <is>
          <t>XP</t>
        </is>
      </c>
      <c r="D37" s="9" t="inlineStr">
        <is>
          <t>Renda Fixa</t>
        </is>
      </c>
      <c r="E37" s="9" t="inlineStr">
        <is>
          <t>CDB</t>
        </is>
      </c>
      <c r="F37" s="9" t="inlineStr">
        <is>
          <t>CDB CloudWalk InfinitePay 104%CDI</t>
        </is>
      </c>
      <c r="G37" s="8" t="inlineStr">
        <is>
          <t>CDBCW</t>
        </is>
      </c>
      <c r="H37" s="10" t="n">
        <v>20000</v>
      </c>
      <c r="I37" s="34" t="n">
        <v>46267</v>
      </c>
      <c r="J37" s="8" t="inlineStr">
        <is>
          <t>BRL</t>
        </is>
      </c>
      <c r="K37" s="8" t="inlineStr">
        <is>
          <t>Sim</t>
        </is>
      </c>
      <c r="L37" s="9" t="inlineStr">
        <is>
          <t>300k</t>
        </is>
      </c>
    </row>
  </sheetData>
  <autoFilter ref="A1:M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G2" sqref="G2"/>
    </sheetView>
  </sheetViews>
  <sheetFormatPr baseColWidth="8" defaultRowHeight="14.4"/>
  <cols>
    <col width="19" bestFit="1" customWidth="1" style="40" min="1" max="1"/>
    <col width="16" bestFit="1" customWidth="1" style="40" min="2" max="2"/>
    <col width="18" bestFit="1" customWidth="1" style="40" min="3" max="3"/>
    <col width="15" customWidth="1" style="40" min="4" max="6"/>
    <col width="17" bestFit="1" customWidth="1" style="40" min="7" max="7"/>
    <col width="43" customWidth="1" style="40" min="8" max="8"/>
    <col width="15" customWidth="1" style="40" min="9" max="11"/>
  </cols>
  <sheetData>
    <row r="1" ht="25.95" customHeight="1" s="40">
      <c r="A1" s="4" t="inlineStr">
        <is>
          <t>Data Referência</t>
        </is>
      </c>
      <c r="B1" s="4" t="inlineStr">
        <is>
          <t>CDI (% a.a.)</t>
        </is>
      </c>
      <c r="C1" s="4" t="inlineStr">
        <is>
          <t>Selic (% a.a.)</t>
        </is>
      </c>
      <c r="D1" s="4" t="inlineStr">
        <is>
          <t>IPCA (%)</t>
        </is>
      </c>
      <c r="E1" s="4" t="inlineStr">
        <is>
          <t>Dólar (USD)</t>
        </is>
      </c>
      <c r="F1" s="4" t="inlineStr">
        <is>
          <t>Libra (GBP)</t>
        </is>
      </c>
      <c r="G1" s="4" t="inlineStr">
        <is>
          <t>Bitcoin (BTC)</t>
        </is>
      </c>
      <c r="H1" s="4" t="inlineStr">
        <is>
          <t>Observação</t>
        </is>
      </c>
    </row>
    <row r="2" ht="24" customHeight="1" s="40">
      <c r="A2" s="35" t="n">
        <v>46225</v>
      </c>
      <c r="B2" s="17" t="n">
        <v>0.1415</v>
      </c>
      <c r="C2" s="17" t="n">
        <v>0.1425</v>
      </c>
      <c r="D2" s="17" t="n">
        <v>0.0016</v>
      </c>
      <c r="E2" s="36" t="n">
        <v>5.0566</v>
      </c>
      <c r="F2" s="36" t="n">
        <v>6.79</v>
      </c>
      <c r="G2" s="65" t="n">
        <v>335675</v>
      </c>
      <c r="H2" s="18" t="inlineStr">
        <is>
          <t>Taxas oficiais e cotações de referência</t>
        </is>
      </c>
      <c r="I2" t="n">
        <v>600000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I2" sqref="I2"/>
    </sheetView>
  </sheetViews>
  <sheetFormatPr baseColWidth="8" defaultRowHeight="14.4"/>
  <cols>
    <col width="11.44140625" bestFit="1" customWidth="1" style="40" min="1" max="1"/>
    <col width="11.44140625" customWidth="1" style="40" min="2" max="2"/>
    <col width="13.88671875" bestFit="1" customWidth="1" style="40" min="3" max="3"/>
    <col width="11.6640625" customWidth="1" style="40" min="4" max="4"/>
    <col width="35.109375" bestFit="1" customWidth="1" style="40" min="5" max="5"/>
    <col width="12.44140625" bestFit="1" customWidth="1" style="40" min="6" max="6"/>
    <col width="14.6640625" bestFit="1" customWidth="1" style="2" min="7" max="7"/>
    <col width="7.33203125" bestFit="1" customWidth="1" style="40" min="8" max="8"/>
    <col width="13.6640625" bestFit="1" customWidth="1" style="2" min="9" max="9"/>
    <col width="16.88671875" bestFit="1" customWidth="1" style="40" min="10" max="10"/>
    <col width="23.109375" bestFit="1" customWidth="1" style="40" min="11" max="11"/>
  </cols>
  <sheetData>
    <row r="1" ht="25.95" customHeight="1" s="40">
      <c r="A1" s="4" t="inlineStr">
        <is>
          <t>Data</t>
        </is>
      </c>
      <c r="B1" s="4" t="inlineStr">
        <is>
          <t>Competência</t>
        </is>
      </c>
      <c r="C1" s="4" t="inlineStr">
        <is>
          <t>Instituição</t>
        </is>
      </c>
      <c r="D1" s="4" t="inlineStr">
        <is>
          <t>Classe</t>
        </is>
      </c>
      <c r="E1" s="4" t="inlineStr">
        <is>
          <t>Ativo</t>
        </is>
      </c>
      <c r="F1" s="4" t="inlineStr">
        <is>
          <t>Código</t>
        </is>
      </c>
      <c r="G1" s="19" t="inlineStr">
        <is>
          <t>Saldo Atual</t>
        </is>
      </c>
      <c r="H1" s="4" t="inlineStr">
        <is>
          <t>Aporte</t>
        </is>
      </c>
      <c r="I1" s="19" t="inlineStr">
        <is>
          <t>Resgate</t>
        </is>
      </c>
      <c r="J1" s="4" t="inlineStr">
        <is>
          <t>Dividendos/Juros</t>
        </is>
      </c>
      <c r="K1" s="4" t="inlineStr">
        <is>
          <t>Observação</t>
        </is>
      </c>
    </row>
    <row r="2">
      <c r="A2" s="1" t="n">
        <v>45916</v>
      </c>
      <c r="B2" s="3">
        <f>DATE(YEAR(A2),MONTH(A2)+1,0)</f>
        <v/>
      </c>
      <c r="C2" s="1" t="inlineStr">
        <is>
          <t>Avenue</t>
        </is>
      </c>
      <c r="D2" s="1" t="inlineStr">
        <is>
          <t>Exterior</t>
        </is>
      </c>
      <c r="E2" s="1" t="inlineStr">
        <is>
          <t>Disney</t>
        </is>
      </c>
      <c r="F2" t="inlineStr">
        <is>
          <t>AVE-DIS</t>
        </is>
      </c>
      <c r="G2" s="2" t="n">
        <v>1</v>
      </c>
    </row>
    <row r="3">
      <c r="A3" s="1" t="n">
        <v>45916</v>
      </c>
      <c r="B3" s="3">
        <f>DATE(YEAR(A3),MONTH(A3)+1,0)</f>
        <v/>
      </c>
      <c r="C3" s="1" t="inlineStr">
        <is>
          <t>Avenue</t>
        </is>
      </c>
      <c r="D3" s="1" t="inlineStr">
        <is>
          <t>Exterior</t>
        </is>
      </c>
      <c r="E3" s="1" t="inlineStr">
        <is>
          <t>Google</t>
        </is>
      </c>
      <c r="F3" t="inlineStr">
        <is>
          <t>AVE-GOOGL</t>
        </is>
      </c>
      <c r="G3" s="2" t="n">
        <v>1</v>
      </c>
    </row>
    <row r="4">
      <c r="A4" s="1" t="n">
        <v>45916</v>
      </c>
      <c r="B4" s="3">
        <f>DATE(YEAR(A4),MONTH(A4)+1,0)</f>
        <v/>
      </c>
      <c r="C4" s="1" t="inlineStr">
        <is>
          <t>Avenue</t>
        </is>
      </c>
      <c r="D4" s="1" t="inlineStr">
        <is>
          <t>Exterior</t>
        </is>
      </c>
      <c r="E4" s="1" t="inlineStr">
        <is>
          <t>Microsoft</t>
        </is>
      </c>
      <c r="F4" t="inlineStr">
        <is>
          <t>AVE-MSFT</t>
        </is>
      </c>
      <c r="G4" s="2" t="n">
        <v>1</v>
      </c>
    </row>
    <row r="5">
      <c r="A5" s="1" t="n">
        <v>45916</v>
      </c>
      <c r="B5" s="3">
        <f>DATE(YEAR(A5),MONTH(A5)+1,0)</f>
        <v/>
      </c>
      <c r="C5" s="1" t="inlineStr">
        <is>
          <t>Avenue</t>
        </is>
      </c>
      <c r="D5" s="1" t="inlineStr">
        <is>
          <t>Exterior</t>
        </is>
      </c>
      <c r="E5" s="1" t="inlineStr">
        <is>
          <t>Shopify</t>
        </is>
      </c>
      <c r="F5" t="inlineStr">
        <is>
          <t>AVE-SHOP</t>
        </is>
      </c>
      <c r="G5" s="2" t="n">
        <v>1</v>
      </c>
    </row>
    <row r="6">
      <c r="A6" s="1" t="n">
        <v>45916</v>
      </c>
      <c r="B6" s="3">
        <f>DATE(YEAR(A6),MONTH(A6)+1,0)</f>
        <v/>
      </c>
      <c r="C6" s="1" t="inlineStr">
        <is>
          <t>Avenue</t>
        </is>
      </c>
      <c r="D6" s="1" t="inlineStr">
        <is>
          <t>Exterior</t>
        </is>
      </c>
      <c r="E6" s="1" t="inlineStr">
        <is>
          <t>Blok</t>
        </is>
      </c>
      <c r="F6" t="inlineStr">
        <is>
          <t>AVE-BLOK</t>
        </is>
      </c>
      <c r="G6" s="2" t="n">
        <v>1</v>
      </c>
    </row>
    <row r="7">
      <c r="A7" s="1" t="n">
        <v>45916</v>
      </c>
      <c r="B7" s="3">
        <f>DATE(YEAR(A7),MONTH(A7)+1,0)</f>
        <v/>
      </c>
      <c r="C7" s="1" t="inlineStr">
        <is>
          <t>Avenue</t>
        </is>
      </c>
      <c r="D7" s="1" t="inlineStr">
        <is>
          <t>Exterior</t>
        </is>
      </c>
      <c r="E7" s="1" t="inlineStr">
        <is>
          <t>IWM</t>
        </is>
      </c>
      <c r="F7" t="inlineStr">
        <is>
          <t>AVE-IWM</t>
        </is>
      </c>
      <c r="G7" s="2" t="n">
        <v>1</v>
      </c>
    </row>
    <row r="8">
      <c r="A8" s="1" t="n">
        <v>46220</v>
      </c>
      <c r="B8" s="3">
        <f>DATE(YEAR(A8),MONTH(A8)+1,0)</f>
        <v/>
      </c>
      <c r="C8" s="1" t="inlineStr">
        <is>
          <t>C6</t>
        </is>
      </c>
      <c r="D8" t="inlineStr">
        <is>
          <t>Renda Fixa</t>
        </is>
      </c>
      <c r="E8" t="inlineStr">
        <is>
          <t>CDB C6 Pós-Fixado Liq. Diária</t>
        </is>
      </c>
      <c r="F8" t="inlineStr">
        <is>
          <t>C6-CDB</t>
        </is>
      </c>
      <c r="G8" s="2" t="n">
        <v>1</v>
      </c>
      <c r="I8" s="2" t="n">
        <v>25000</v>
      </c>
      <c r="K8" t="inlineStr">
        <is>
          <t>transferido para Roberta</t>
        </is>
      </c>
    </row>
    <row r="9">
      <c r="A9" s="1" t="n">
        <v>46225</v>
      </c>
      <c r="B9" s="3">
        <f>DATE(YEAR(A9),MONTH(A9)+1,0)</f>
        <v/>
      </c>
      <c r="C9" s="1" t="inlineStr">
        <is>
          <t>Mercado Pago</t>
        </is>
      </c>
      <c r="D9" s="1" t="inlineStr">
        <is>
          <t>Caixa</t>
        </is>
      </c>
      <c r="E9" s="1" t="inlineStr">
        <is>
          <t>Caixa</t>
        </is>
      </c>
      <c r="F9" t="inlineStr">
        <is>
          <t>MP-CONTA</t>
        </is>
      </c>
      <c r="G9" s="2" t="n">
        <v>1</v>
      </c>
    </row>
    <row r="10">
      <c r="A10" s="1" t="n">
        <v>46225</v>
      </c>
      <c r="B10" s="3">
        <f>DATE(YEAR(A10),MONTH(A10)+1,0)</f>
        <v/>
      </c>
      <c r="C10" s="1" t="inlineStr">
        <is>
          <t>Clear</t>
        </is>
      </c>
      <c r="D10" s="1" t="inlineStr">
        <is>
          <t>Ações</t>
        </is>
      </c>
      <c r="E10" s="1" t="inlineStr">
        <is>
          <t>Vale</t>
        </is>
      </c>
      <c r="F10" t="inlineStr">
        <is>
          <t>CLR-VALE3</t>
        </is>
      </c>
      <c r="G10" s="2" t="n">
        <v>1</v>
      </c>
    </row>
    <row r="11">
      <c r="A11" s="1" t="n">
        <v>46225</v>
      </c>
      <c r="B11" s="3">
        <f>DATE(YEAR(A11),MONTH(A11)+1,0)</f>
        <v/>
      </c>
      <c r="C11" s="1" t="inlineStr">
        <is>
          <t>Clear</t>
        </is>
      </c>
      <c r="D11" s="1" t="inlineStr">
        <is>
          <t>Ações</t>
        </is>
      </c>
      <c r="E11" s="1" t="inlineStr">
        <is>
          <t>Copasa ON</t>
        </is>
      </c>
      <c r="F11" t="inlineStr">
        <is>
          <t>CLR-CSMG3</t>
        </is>
      </c>
      <c r="G11" s="2" t="n">
        <v>1</v>
      </c>
    </row>
    <row r="12">
      <c r="A12" s="1" t="n">
        <v>46225</v>
      </c>
      <c r="B12" s="3">
        <f>DATE(YEAR(A12),MONTH(A12)+1,0)</f>
        <v/>
      </c>
      <c r="C12" s="1" t="inlineStr">
        <is>
          <t>Clear</t>
        </is>
      </c>
      <c r="D12" s="1" t="inlineStr">
        <is>
          <t>Ações</t>
        </is>
      </c>
      <c r="E12" s="1" t="inlineStr">
        <is>
          <t>Marcopolo SA</t>
        </is>
      </c>
      <c r="F12" t="inlineStr">
        <is>
          <t>CLR-POMO4</t>
        </is>
      </c>
      <c r="G12" s="2" t="n">
        <v>1</v>
      </c>
    </row>
    <row r="13">
      <c r="A13" s="1" t="n">
        <v>46225</v>
      </c>
      <c r="B13" s="3">
        <f>DATE(YEAR(A13),MONTH(A13)+1,0)</f>
        <v/>
      </c>
      <c r="C13" s="1" t="inlineStr">
        <is>
          <t>Clear</t>
        </is>
      </c>
      <c r="D13" s="1" t="inlineStr">
        <is>
          <t>Ações</t>
        </is>
      </c>
      <c r="E13" s="1" t="inlineStr">
        <is>
          <t>Orizon Valorizacao de Residuos SA</t>
        </is>
      </c>
      <c r="F13" t="inlineStr">
        <is>
          <t>CLR-ORVR3</t>
        </is>
      </c>
      <c r="G13" s="2" t="n">
        <v>1</v>
      </c>
    </row>
    <row r="14">
      <c r="A14" s="1" t="n">
        <v>46225</v>
      </c>
      <c r="B14" s="3">
        <f>DATE(YEAR(A14),MONTH(A14)+1,0)</f>
        <v/>
      </c>
      <c r="C14" s="1" t="inlineStr">
        <is>
          <t>Clear</t>
        </is>
      </c>
      <c r="D14" s="1" t="inlineStr">
        <is>
          <t>Fundo</t>
        </is>
      </c>
      <c r="E14" s="1" t="inlineStr">
        <is>
          <t>Trend ETF LBMA Gold Fundo de Índice</t>
        </is>
      </c>
      <c r="F14" t="inlineStr">
        <is>
          <t>CLR-GOLD11</t>
        </is>
      </c>
      <c r="G14" s="2" t="n">
        <v>1</v>
      </c>
    </row>
    <row r="15">
      <c r="A15" s="1" t="n">
        <v>46225</v>
      </c>
      <c r="B15" s="3">
        <f>DATE(YEAR(A15),MONTH(A15)+1,0)</f>
        <v/>
      </c>
      <c r="C15" s="1" t="inlineStr">
        <is>
          <t>XP</t>
        </is>
      </c>
      <c r="D15" s="1" t="inlineStr">
        <is>
          <t>Renda Fixa</t>
        </is>
      </c>
      <c r="E15" s="1" t="inlineStr">
        <is>
          <t>CDB BANCO BBC</t>
        </is>
      </c>
      <c r="F15" t="inlineStr">
        <is>
          <t>XP-CDB0427</t>
        </is>
      </c>
      <c r="G15" s="2" t="n">
        <v>1</v>
      </c>
    </row>
    <row r="16">
      <c r="A16" s="1" t="n">
        <v>46225</v>
      </c>
      <c r="B16" s="3">
        <f>DATE(YEAR(A16),MONTH(A16)+1,0)</f>
        <v/>
      </c>
      <c r="C16" s="1" t="inlineStr">
        <is>
          <t>XP</t>
        </is>
      </c>
      <c r="D16" s="1" t="inlineStr">
        <is>
          <t>Renda Fixa</t>
        </is>
      </c>
      <c r="E16" s="1" t="inlineStr">
        <is>
          <t>DEB PETROBRAS - SET/2034</t>
        </is>
      </c>
      <c r="F16" t="inlineStr">
        <is>
          <t>XP-DEB2034</t>
        </is>
      </c>
      <c r="G16" s="2" t="n">
        <v>1</v>
      </c>
    </row>
    <row r="17">
      <c r="A17" s="1" t="n">
        <v>46225</v>
      </c>
      <c r="B17" s="3">
        <f>DATE(YEAR(A17),MONTH(A17)+1,0)</f>
        <v/>
      </c>
      <c r="C17" s="1" t="inlineStr">
        <is>
          <t>XP</t>
        </is>
      </c>
      <c r="D17" s="1" t="inlineStr">
        <is>
          <t>Tesouro Direto</t>
        </is>
      </c>
      <c r="E17" s="1" t="inlineStr">
        <is>
          <t>NTN-B ago/2032</t>
        </is>
      </c>
      <c r="F17" t="inlineStr">
        <is>
          <t>XP-IPCA2032</t>
        </is>
      </c>
      <c r="G17" s="2" t="n">
        <v>1</v>
      </c>
    </row>
    <row r="18">
      <c r="A18" s="1" t="n">
        <v>46225</v>
      </c>
      <c r="B18" s="3">
        <f>DATE(YEAR(A18),MONTH(A18)+1,0)</f>
        <v/>
      </c>
      <c r="C18" s="1" t="inlineStr">
        <is>
          <t>XP</t>
        </is>
      </c>
      <c r="D18" s="1" t="inlineStr">
        <is>
          <t>Tesouro Direto</t>
        </is>
      </c>
      <c r="E18" s="1" t="inlineStr">
        <is>
          <t>NTNB PRINC mai/2035</t>
        </is>
      </c>
      <c r="F18" t="inlineStr">
        <is>
          <t>XP-IPCA2035</t>
        </is>
      </c>
      <c r="G18" s="2" t="n">
        <v>1</v>
      </c>
    </row>
    <row r="19">
      <c r="A19" s="1" t="n">
        <v>46225</v>
      </c>
      <c r="B19" s="3">
        <f>DATE(YEAR(A19),MONTH(A19)+1,0)</f>
        <v/>
      </c>
      <c r="C19" s="1" t="inlineStr">
        <is>
          <t>XP</t>
        </is>
      </c>
      <c r="D19" s="1" t="inlineStr">
        <is>
          <t>Tesouro Direto</t>
        </is>
      </c>
      <c r="E19" s="1" t="inlineStr">
        <is>
          <t>NTNB PRINC ago/2026</t>
        </is>
      </c>
      <c r="F19" t="inlineStr">
        <is>
          <t>XP-IPCA2026</t>
        </is>
      </c>
      <c r="G19" s="2" t="n">
        <v>1</v>
      </c>
      <c r="I19" s="2" t="n">
        <v>2469.56</v>
      </c>
    </row>
    <row r="20">
      <c r="A20" s="1" t="n">
        <v>46225</v>
      </c>
      <c r="B20" s="3">
        <f>DATE(YEAR(A20),MONTH(A20)+1,0)</f>
        <v/>
      </c>
      <c r="C20" s="1" t="inlineStr">
        <is>
          <t>XP</t>
        </is>
      </c>
      <c r="D20" s="1" t="inlineStr">
        <is>
          <t>Fundo Imobiliário</t>
        </is>
      </c>
      <c r="E20" t="inlineStr">
        <is>
          <t>VALORA HEDGE FUND</t>
        </is>
      </c>
      <c r="F20" t="inlineStr">
        <is>
          <t>XP-VGHF11</t>
        </is>
      </c>
      <c r="G20" s="2" t="n">
        <v>1</v>
      </c>
    </row>
    <row r="21">
      <c r="A21" s="1" t="n">
        <v>46225</v>
      </c>
      <c r="B21" s="3">
        <f>DATE(YEAR(A21),MONTH(A21)+1,0)</f>
        <v/>
      </c>
      <c r="C21" s="1" t="inlineStr">
        <is>
          <t>XP</t>
        </is>
      </c>
      <c r="D21" s="1" t="inlineStr">
        <is>
          <t>Fundo Imobiliário</t>
        </is>
      </c>
      <c r="E21" s="1" t="inlineStr">
        <is>
          <t>RBR Crédito Imobiliário Estruturado</t>
        </is>
      </c>
      <c r="F21" t="inlineStr">
        <is>
          <t>XP-RBRY11</t>
        </is>
      </c>
      <c r="G21" s="2" t="n">
        <v>1</v>
      </c>
    </row>
    <row r="22">
      <c r="A22" s="1" t="n">
        <v>46225</v>
      </c>
      <c r="B22" s="3">
        <f>DATE(YEAR(A22),MONTH(A22)+1,0)</f>
        <v/>
      </c>
      <c r="C22" s="1" t="inlineStr">
        <is>
          <t>XP</t>
        </is>
      </c>
      <c r="D22" s="1" t="inlineStr">
        <is>
          <t>Fundo Imobiliário</t>
        </is>
      </c>
      <c r="E22" s="1" t="inlineStr">
        <is>
          <t>Mérito Desenvolvimento Imobiliário</t>
        </is>
      </c>
      <c r="F22" t="inlineStr">
        <is>
          <t>XP-MFII11</t>
        </is>
      </c>
      <c r="G22" s="2" t="n">
        <v>1</v>
      </c>
    </row>
    <row r="23">
      <c r="A23" s="1" t="n">
        <v>46225</v>
      </c>
      <c r="B23" s="3">
        <f>DATE(YEAR(A23),MONTH(A23)+1,0)</f>
        <v/>
      </c>
      <c r="C23" s="1" t="inlineStr">
        <is>
          <t>Binance</t>
        </is>
      </c>
      <c r="D23" s="1" t="inlineStr">
        <is>
          <t>Cripto</t>
        </is>
      </c>
      <c r="E23" s="1" t="inlineStr">
        <is>
          <t>Bitcoin</t>
        </is>
      </c>
      <c r="F23" t="inlineStr">
        <is>
          <t>BIN-BTC</t>
        </is>
      </c>
      <c r="G23" s="2" t="n">
        <v>1</v>
      </c>
    </row>
    <row r="24">
      <c r="A24" s="1" t="n">
        <v>46225</v>
      </c>
      <c r="B24" s="3">
        <f>DATE(YEAR(A24),MONTH(A24)+1,0)</f>
        <v/>
      </c>
      <c r="C24" s="1" t="inlineStr">
        <is>
          <t>Binance</t>
        </is>
      </c>
      <c r="D24" s="1" t="inlineStr">
        <is>
          <t>Cripto</t>
        </is>
      </c>
      <c r="E24" s="1" t="inlineStr">
        <is>
          <t>Sui</t>
        </is>
      </c>
      <c r="F24" t="inlineStr">
        <is>
          <t>BIN-SUI</t>
        </is>
      </c>
      <c r="G24" s="2" t="n">
        <v>1</v>
      </c>
    </row>
    <row r="25">
      <c r="A25" s="1" t="n">
        <v>46225</v>
      </c>
      <c r="B25" s="3">
        <f>DATE(YEAR(A25),MONTH(A25)+1,0)</f>
        <v/>
      </c>
      <c r="C25" s="1" t="inlineStr">
        <is>
          <t>Binance</t>
        </is>
      </c>
      <c r="D25" s="1" t="inlineStr">
        <is>
          <t>Cripto</t>
        </is>
      </c>
      <c r="E25" s="1" t="inlineStr">
        <is>
          <t>avax</t>
        </is>
      </c>
      <c r="F25" t="inlineStr">
        <is>
          <t>BIN-AVAX</t>
        </is>
      </c>
      <c r="G25" s="2" t="n">
        <v>1</v>
      </c>
    </row>
    <row r="26">
      <c r="A26" s="1" t="n">
        <v>46225</v>
      </c>
      <c r="B26" s="3">
        <f>DATE(YEAR(A26),MONTH(A26)+1,0)</f>
        <v/>
      </c>
      <c r="C26" s="1" t="inlineStr">
        <is>
          <t>Binance</t>
        </is>
      </c>
      <c r="D26" s="1" t="inlineStr">
        <is>
          <t>Cripto</t>
        </is>
      </c>
      <c r="E26" s="1" t="inlineStr">
        <is>
          <t>Etherium</t>
        </is>
      </c>
      <c r="F26" t="inlineStr">
        <is>
          <t>BIN-ETH</t>
        </is>
      </c>
      <c r="G26" s="2" t="n">
        <v>1</v>
      </c>
    </row>
    <row r="27">
      <c r="A27" s="1" t="n">
        <v>46225</v>
      </c>
      <c r="B27" s="3">
        <f>DATE(YEAR(A27),MONTH(A27)+1,0)</f>
        <v/>
      </c>
      <c r="C27" s="1" t="inlineStr">
        <is>
          <t>Binance</t>
        </is>
      </c>
      <c r="D27" s="1" t="inlineStr">
        <is>
          <t>Cripto</t>
        </is>
      </c>
      <c r="E27" s="1" t="inlineStr">
        <is>
          <t>Solana</t>
        </is>
      </c>
      <c r="F27" t="inlineStr">
        <is>
          <t>BIN-SOL</t>
        </is>
      </c>
      <c r="G27" s="2" t="n">
        <v>1</v>
      </c>
    </row>
    <row r="28">
      <c r="A28" s="1" t="n">
        <v>46225</v>
      </c>
      <c r="B28" s="3">
        <f>DATE(YEAR(A28),MONTH(A28)+1,0)</f>
        <v/>
      </c>
      <c r="C28" s="1" t="inlineStr">
        <is>
          <t>Avenue</t>
        </is>
      </c>
      <c r="D28" s="1" t="inlineStr">
        <is>
          <t>Exterior</t>
        </is>
      </c>
      <c r="E28" s="1" t="inlineStr">
        <is>
          <t>Disney</t>
        </is>
      </c>
      <c r="F28" t="inlineStr">
        <is>
          <t>AVE-DIS</t>
        </is>
      </c>
      <c r="G28" s="2" t="n">
        <v>1</v>
      </c>
    </row>
    <row r="29">
      <c r="A29" s="1" t="n">
        <v>46225</v>
      </c>
      <c r="B29" s="3">
        <f>DATE(YEAR(A29),MONTH(A29)+1,0)</f>
        <v/>
      </c>
      <c r="C29" s="1" t="inlineStr">
        <is>
          <t>Avenue</t>
        </is>
      </c>
      <c r="D29" s="1" t="inlineStr">
        <is>
          <t>Exterior</t>
        </is>
      </c>
      <c r="E29" s="1" t="inlineStr">
        <is>
          <t>Google</t>
        </is>
      </c>
      <c r="F29" t="inlineStr">
        <is>
          <t>AVE-GOOGL</t>
        </is>
      </c>
      <c r="G29" s="2" t="n">
        <v>1</v>
      </c>
    </row>
    <row r="30">
      <c r="A30" s="1" t="n">
        <v>46225</v>
      </c>
      <c r="B30" s="3">
        <f>DATE(YEAR(A30),MONTH(A30)+1,0)</f>
        <v/>
      </c>
      <c r="C30" s="1" t="inlineStr">
        <is>
          <t>Avenue</t>
        </is>
      </c>
      <c r="D30" s="1" t="inlineStr">
        <is>
          <t>Exterior</t>
        </is>
      </c>
      <c r="E30" s="1" t="inlineStr">
        <is>
          <t>Microsoft</t>
        </is>
      </c>
      <c r="F30" t="inlineStr">
        <is>
          <t>AVE-MSFT</t>
        </is>
      </c>
      <c r="G30" s="2" t="n">
        <v>1</v>
      </c>
    </row>
    <row r="31">
      <c r="A31" s="1" t="n">
        <v>46225</v>
      </c>
      <c r="B31" s="3">
        <f>DATE(YEAR(A31),MONTH(A31)+1,0)</f>
        <v/>
      </c>
      <c r="C31" s="1" t="inlineStr">
        <is>
          <t>Avenue</t>
        </is>
      </c>
      <c r="D31" s="1" t="inlineStr">
        <is>
          <t>Exterior</t>
        </is>
      </c>
      <c r="E31" s="1" t="inlineStr">
        <is>
          <t>Shopify</t>
        </is>
      </c>
      <c r="F31" t="inlineStr">
        <is>
          <t>AVE-SHOP</t>
        </is>
      </c>
      <c r="G31" s="2" t="n">
        <v>1</v>
      </c>
    </row>
    <row r="32">
      <c r="A32" s="1" t="n">
        <v>46225</v>
      </c>
      <c r="B32" s="3">
        <f>DATE(YEAR(A32),MONTH(A32)+1,0)</f>
        <v/>
      </c>
      <c r="C32" s="1" t="inlineStr">
        <is>
          <t>Avenue</t>
        </is>
      </c>
      <c r="D32" s="1" t="inlineStr">
        <is>
          <t>Exterior</t>
        </is>
      </c>
      <c r="E32" s="1" t="inlineStr">
        <is>
          <t>Blok</t>
        </is>
      </c>
      <c r="F32" t="inlineStr">
        <is>
          <t>AVE-BLOK</t>
        </is>
      </c>
      <c r="G32" s="2" t="n">
        <v>1</v>
      </c>
    </row>
    <row r="33">
      <c r="A33" s="1" t="n">
        <v>46225</v>
      </c>
      <c r="B33" s="3">
        <f>DATE(YEAR(A33),MONTH(A33)+1,0)</f>
        <v/>
      </c>
      <c r="C33" s="1" t="inlineStr">
        <is>
          <t>Avenue</t>
        </is>
      </c>
      <c r="D33" s="1" t="inlineStr">
        <is>
          <t>Exterior</t>
        </is>
      </c>
      <c r="E33" s="1" t="inlineStr">
        <is>
          <t>IWM</t>
        </is>
      </c>
      <c r="F33" t="inlineStr">
        <is>
          <t>AVE-IWM</t>
        </is>
      </c>
      <c r="G33" s="2" t="n">
        <v>1</v>
      </c>
    </row>
    <row r="34">
      <c r="A34" s="1" t="n">
        <v>46225</v>
      </c>
      <c r="B34" s="3">
        <f>DATE(YEAR(A34),MONTH(A34)+1,0)</f>
        <v/>
      </c>
      <c r="C34" s="1" t="inlineStr">
        <is>
          <t>Wise</t>
        </is>
      </c>
      <c r="D34" s="1" t="inlineStr">
        <is>
          <t>Caixa</t>
        </is>
      </c>
      <c r="E34" s="1" t="inlineStr">
        <is>
          <t>Dolar</t>
        </is>
      </c>
      <c r="F34" t="inlineStr">
        <is>
          <t>WISE-USD</t>
        </is>
      </c>
      <c r="G34" s="2" t="n">
        <v>1</v>
      </c>
    </row>
    <row r="35">
      <c r="A35" s="1" t="n">
        <v>46225</v>
      </c>
      <c r="B35" s="3">
        <f>DATE(YEAR(A35),MONTH(A35)+1,0)</f>
        <v/>
      </c>
      <c r="C35" s="1" t="inlineStr">
        <is>
          <t>Wise</t>
        </is>
      </c>
      <c r="D35" s="1" t="inlineStr">
        <is>
          <t>Caixa</t>
        </is>
      </c>
      <c r="E35" s="1" t="inlineStr">
        <is>
          <t xml:space="preserve">Libra </t>
        </is>
      </c>
      <c r="F35" t="inlineStr">
        <is>
          <t>WISE-GBP</t>
        </is>
      </c>
      <c r="G35" s="2" t="n">
        <v>1</v>
      </c>
    </row>
    <row r="36">
      <c r="A36" s="1" t="n">
        <v>46226</v>
      </c>
      <c r="B36" s="3">
        <f>DATE(YEAR(A36),MONTH(A36)+1,0)</f>
        <v/>
      </c>
      <c r="C36" t="inlineStr">
        <is>
          <t>C6</t>
        </is>
      </c>
      <c r="D36" t="inlineStr">
        <is>
          <t>Renda Fixa</t>
        </is>
      </c>
      <c r="E36" t="inlineStr">
        <is>
          <t>CDB C6 Pós-Fixado Liq. Diária</t>
        </is>
      </c>
      <c r="F36" t="inlineStr">
        <is>
          <t>C6-CDB</t>
        </is>
      </c>
      <c r="G36" s="2" t="n">
        <v>1</v>
      </c>
    </row>
    <row r="37">
      <c r="A37" s="1" t="n">
        <v>46226</v>
      </c>
      <c r="B37" s="3">
        <f>DATE(YEAR(A37),MONTH(A37)+1,0)</f>
        <v/>
      </c>
      <c r="C37" t="inlineStr">
        <is>
          <t>C6</t>
        </is>
      </c>
      <c r="D37" t="inlineStr">
        <is>
          <t>Renda Fixa</t>
        </is>
      </c>
      <c r="E37" t="inlineStr">
        <is>
          <t xml:space="preserve">CDI C6 </t>
        </is>
      </c>
      <c r="F37" t="inlineStr">
        <is>
          <t>C6-CDI</t>
        </is>
      </c>
      <c r="G37" s="2" t="n">
        <v>1</v>
      </c>
    </row>
    <row r="38">
      <c r="A38" s="1" t="n">
        <v>46264</v>
      </c>
      <c r="B38" s="3">
        <f>DATE(YEAR(A38),MONTH(A38)+1,0)</f>
        <v/>
      </c>
      <c r="C38" s="1" t="inlineStr">
        <is>
          <t>Mercado Pago</t>
        </is>
      </c>
      <c r="D38" s="1" t="inlineStr">
        <is>
          <t>Caixa</t>
        </is>
      </c>
      <c r="E38" s="1" t="inlineStr">
        <is>
          <t>Caixa</t>
        </is>
      </c>
      <c r="F38" t="inlineStr">
        <is>
          <t>MP-CONTA</t>
        </is>
      </c>
      <c r="G38" s="2" t="n">
        <v>1</v>
      </c>
      <c r="H38" t="n">
        <v>2000</v>
      </c>
    </row>
    <row r="39">
      <c r="A39" s="1" t="n">
        <v>46264</v>
      </c>
      <c r="B39" s="3">
        <f>DATE(YEAR(A39),MONTH(A39)+1,0)</f>
        <v/>
      </c>
      <c r="C39" s="1" t="inlineStr">
        <is>
          <t>Clear</t>
        </is>
      </c>
      <c r="D39" s="1" t="inlineStr">
        <is>
          <t>Ações</t>
        </is>
      </c>
      <c r="E39" s="1" t="inlineStr">
        <is>
          <t>Vale</t>
        </is>
      </c>
      <c r="F39" t="inlineStr">
        <is>
          <t>CLR-VALE3</t>
        </is>
      </c>
      <c r="G39" s="2" t="n">
        <v>1</v>
      </c>
    </row>
    <row r="40">
      <c r="A40" s="1" t="n">
        <v>46264</v>
      </c>
      <c r="B40" s="3">
        <f>DATE(YEAR(A40),MONTH(A40)+1,0)</f>
        <v/>
      </c>
      <c r="C40" s="1" t="inlineStr">
        <is>
          <t>Clear</t>
        </is>
      </c>
      <c r="D40" s="1" t="inlineStr">
        <is>
          <t>Ações</t>
        </is>
      </c>
      <c r="E40" s="1" t="inlineStr">
        <is>
          <t>Copasa ON</t>
        </is>
      </c>
      <c r="F40" t="inlineStr">
        <is>
          <t>CLR-CSMG3</t>
        </is>
      </c>
      <c r="G40" s="2" t="n">
        <v>1</v>
      </c>
    </row>
    <row r="41">
      <c r="A41" s="1" t="n">
        <v>46264</v>
      </c>
      <c r="B41" s="3">
        <f>DATE(YEAR(A41),MONTH(A41)+1,0)</f>
        <v/>
      </c>
      <c r="C41" s="1" t="inlineStr">
        <is>
          <t>Clear</t>
        </is>
      </c>
      <c r="D41" s="1" t="inlineStr">
        <is>
          <t>Ações</t>
        </is>
      </c>
      <c r="E41" s="1" t="inlineStr">
        <is>
          <t>Marcopolo SA</t>
        </is>
      </c>
      <c r="F41" t="inlineStr">
        <is>
          <t>CLR-POMO4</t>
        </is>
      </c>
      <c r="G41" s="2" t="n">
        <v>1</v>
      </c>
    </row>
    <row r="42">
      <c r="A42" s="1" t="n">
        <v>46264</v>
      </c>
      <c r="B42" s="3">
        <f>DATE(YEAR(A42),MONTH(A42)+1,0)</f>
        <v/>
      </c>
      <c r="C42" s="1" t="inlineStr">
        <is>
          <t>Clear</t>
        </is>
      </c>
      <c r="D42" s="1" t="inlineStr">
        <is>
          <t>Ações</t>
        </is>
      </c>
      <c r="E42" s="1" t="inlineStr">
        <is>
          <t>Orizon Valorizacao de Residuos SA</t>
        </is>
      </c>
      <c r="F42" t="inlineStr">
        <is>
          <t>CLR-ORVR3</t>
        </is>
      </c>
      <c r="G42" s="2" t="n">
        <v>1</v>
      </c>
    </row>
    <row r="43">
      <c r="A43" s="1" t="n">
        <v>46264</v>
      </c>
      <c r="B43" s="3">
        <f>DATE(YEAR(A43),MONTH(A43)+1,0)</f>
        <v/>
      </c>
      <c r="C43" s="1" t="inlineStr">
        <is>
          <t>Clear</t>
        </is>
      </c>
      <c r="D43" s="1" t="inlineStr">
        <is>
          <t>Fundo</t>
        </is>
      </c>
      <c r="E43" s="1" t="inlineStr">
        <is>
          <t>Trend ETF LBMA Gold Fundo de Índice</t>
        </is>
      </c>
      <c r="F43" t="inlineStr">
        <is>
          <t>CLR-GOLD11</t>
        </is>
      </c>
      <c r="G43" s="2" t="n">
        <v>1</v>
      </c>
    </row>
    <row r="44">
      <c r="A44" s="1" t="n">
        <v>46264</v>
      </c>
      <c r="B44" s="3">
        <f>DATE(YEAR(A44),MONTH(A44)+1,0)</f>
        <v/>
      </c>
      <c r="C44" s="1" t="inlineStr">
        <is>
          <t>XP</t>
        </is>
      </c>
      <c r="D44" s="1" t="inlineStr">
        <is>
          <t>Renda Fixa</t>
        </is>
      </c>
      <c r="E44" s="1" t="inlineStr">
        <is>
          <t>CDB BANCO BBC</t>
        </is>
      </c>
      <c r="F44" t="inlineStr">
        <is>
          <t>XP-CDB0427</t>
        </is>
      </c>
      <c r="G44" s="2" t="n">
        <v>1</v>
      </c>
    </row>
    <row r="45">
      <c r="A45" s="1" t="n">
        <v>46264</v>
      </c>
      <c r="B45" s="3">
        <f>DATE(YEAR(A45),MONTH(A45)+1,0)</f>
        <v/>
      </c>
      <c r="C45" s="1" t="inlineStr">
        <is>
          <t>XP</t>
        </is>
      </c>
      <c r="D45" s="1" t="inlineStr">
        <is>
          <t>Renda Fixa</t>
        </is>
      </c>
      <c r="E45" s="1" t="inlineStr">
        <is>
          <t>DEB PETROBRAS - SET/2034</t>
        </is>
      </c>
      <c r="F45" t="inlineStr">
        <is>
          <t>XP-DEB2034</t>
        </is>
      </c>
      <c r="G45" s="2" t="n">
        <v>1</v>
      </c>
    </row>
    <row r="46">
      <c r="A46" s="1" t="n">
        <v>46264</v>
      </c>
      <c r="B46" s="3">
        <f>DATE(YEAR(A46),MONTH(A46)+1,0)</f>
        <v/>
      </c>
      <c r="C46" s="1" t="inlineStr">
        <is>
          <t>XP</t>
        </is>
      </c>
      <c r="D46" s="1" t="inlineStr">
        <is>
          <t>Tesouro Direto</t>
        </is>
      </c>
      <c r="E46" s="1" t="inlineStr">
        <is>
          <t>NTN-B ago/2032</t>
        </is>
      </c>
      <c r="F46" t="inlineStr">
        <is>
          <t>XP-IPCA2032</t>
        </is>
      </c>
      <c r="G46" s="2" t="n">
        <v>1</v>
      </c>
    </row>
    <row r="47">
      <c r="A47" s="1" t="n">
        <v>46264</v>
      </c>
      <c r="B47" s="3">
        <f>DATE(YEAR(A47),MONTH(A47)+1,0)</f>
        <v/>
      </c>
      <c r="C47" s="1" t="inlineStr">
        <is>
          <t>XP</t>
        </is>
      </c>
      <c r="D47" s="1" t="inlineStr">
        <is>
          <t>Tesouro Direto</t>
        </is>
      </c>
      <c r="E47" s="1" t="inlineStr">
        <is>
          <t>NTNB PRINC mai/2035</t>
        </is>
      </c>
      <c r="F47" t="inlineStr">
        <is>
          <t>XP-IPCA2035</t>
        </is>
      </c>
      <c r="G47" s="2" t="n">
        <v>1</v>
      </c>
    </row>
    <row r="48">
      <c r="A48" s="1" t="n">
        <v>46264</v>
      </c>
      <c r="B48" s="3">
        <f>DATE(YEAR(A48),MONTH(A48)+1,0)</f>
        <v/>
      </c>
      <c r="C48" s="1" t="inlineStr">
        <is>
          <t>XP</t>
        </is>
      </c>
      <c r="D48" s="1" t="inlineStr">
        <is>
          <t>Tesouro Direto</t>
        </is>
      </c>
      <c r="E48" s="1" t="inlineStr">
        <is>
          <t>NTNB PRINC ago/2026</t>
        </is>
      </c>
      <c r="F48" t="inlineStr">
        <is>
          <t>XP-IPCA2026</t>
        </is>
      </c>
      <c r="G48" s="2" t="n">
        <v>1</v>
      </c>
    </row>
    <row r="49">
      <c r="A49" s="1" t="n">
        <v>46264</v>
      </c>
      <c r="B49" s="3">
        <f>DATE(YEAR(A49),MONTH(A49)+1,0)</f>
        <v/>
      </c>
      <c r="C49" s="1" t="inlineStr">
        <is>
          <t>XP</t>
        </is>
      </c>
      <c r="D49" s="1" t="inlineStr">
        <is>
          <t>Fundo Imobiliário</t>
        </is>
      </c>
      <c r="E49" t="inlineStr">
        <is>
          <t>VALORA HEDGE FUND</t>
        </is>
      </c>
      <c r="F49" t="inlineStr">
        <is>
          <t>XP-VGHF11</t>
        </is>
      </c>
      <c r="G49" s="2" t="n">
        <v>1</v>
      </c>
    </row>
    <row r="50">
      <c r="A50" s="1" t="n">
        <v>46264</v>
      </c>
      <c r="B50" s="3">
        <f>DATE(YEAR(A50),MONTH(A50)+1,0)</f>
        <v/>
      </c>
      <c r="C50" s="1" t="inlineStr">
        <is>
          <t>XP</t>
        </is>
      </c>
      <c r="D50" s="1" t="inlineStr">
        <is>
          <t>Fundo Imobiliário</t>
        </is>
      </c>
      <c r="E50" s="1" t="inlineStr">
        <is>
          <t>RBR Crédito Imobiliário Estruturado</t>
        </is>
      </c>
      <c r="F50" t="inlineStr">
        <is>
          <t>XP-RBRY11</t>
        </is>
      </c>
      <c r="G50" s="2" t="n">
        <v>1</v>
      </c>
    </row>
    <row r="51">
      <c r="A51" s="1" t="n">
        <v>46264</v>
      </c>
      <c r="B51" s="3">
        <f>DATE(YEAR(A51),MONTH(A51)+1,0)</f>
        <v/>
      </c>
      <c r="C51" s="1" t="inlineStr">
        <is>
          <t>XP</t>
        </is>
      </c>
      <c r="D51" s="1" t="inlineStr">
        <is>
          <t>Fundo Imobiliário</t>
        </is>
      </c>
      <c r="E51" s="1" t="inlineStr">
        <is>
          <t>Mérito Desenvolvimento Imobiliário</t>
        </is>
      </c>
      <c r="F51" t="inlineStr">
        <is>
          <t>XP-MFII11</t>
        </is>
      </c>
      <c r="G51" s="2" t="n">
        <v>1</v>
      </c>
    </row>
    <row r="52">
      <c r="A52" s="1" t="n">
        <v>46264</v>
      </c>
      <c r="B52" s="3">
        <f>DATE(YEAR(A52),MONTH(A52)+1,0)</f>
        <v/>
      </c>
      <c r="C52" s="1" t="inlineStr">
        <is>
          <t>Binance</t>
        </is>
      </c>
      <c r="D52" s="1" t="inlineStr">
        <is>
          <t>Cripto</t>
        </is>
      </c>
      <c r="E52" s="1" t="inlineStr">
        <is>
          <t>Bitcoin</t>
        </is>
      </c>
      <c r="F52" t="inlineStr">
        <is>
          <t>BIN-BTC</t>
        </is>
      </c>
      <c r="G52" s="2" t="n">
        <v>1</v>
      </c>
    </row>
    <row r="53">
      <c r="A53" s="1" t="n">
        <v>46264</v>
      </c>
      <c r="B53" s="3">
        <f>DATE(YEAR(A53),MONTH(A53)+1,0)</f>
        <v/>
      </c>
      <c r="C53" s="1" t="inlineStr">
        <is>
          <t>Binance</t>
        </is>
      </c>
      <c r="D53" s="1" t="inlineStr">
        <is>
          <t>Cripto</t>
        </is>
      </c>
      <c r="E53" s="1" t="inlineStr">
        <is>
          <t>Sui</t>
        </is>
      </c>
      <c r="F53" t="inlineStr">
        <is>
          <t>BIN-SUI</t>
        </is>
      </c>
      <c r="G53" s="2" t="n">
        <v>1</v>
      </c>
    </row>
    <row r="54">
      <c r="A54" s="1" t="n">
        <v>46264</v>
      </c>
      <c r="B54" s="3">
        <f>DATE(YEAR(A54),MONTH(A54)+1,0)</f>
        <v/>
      </c>
      <c r="C54" s="1" t="inlineStr">
        <is>
          <t>Binance</t>
        </is>
      </c>
      <c r="D54" s="1" t="inlineStr">
        <is>
          <t>Cripto</t>
        </is>
      </c>
      <c r="E54" s="1" t="inlineStr">
        <is>
          <t>avax</t>
        </is>
      </c>
      <c r="F54" t="inlineStr">
        <is>
          <t>BIN-AVAX</t>
        </is>
      </c>
      <c r="G54" s="2" t="n">
        <v>1</v>
      </c>
    </row>
    <row r="55">
      <c r="A55" s="1" t="n">
        <v>46264</v>
      </c>
      <c r="B55" s="3">
        <f>DATE(YEAR(A55),MONTH(A55)+1,0)</f>
        <v/>
      </c>
      <c r="C55" s="1" t="inlineStr">
        <is>
          <t>Binance</t>
        </is>
      </c>
      <c r="D55" s="1" t="inlineStr">
        <is>
          <t>Cripto</t>
        </is>
      </c>
      <c r="E55" s="1" t="inlineStr">
        <is>
          <t>Etherium</t>
        </is>
      </c>
      <c r="F55" t="inlineStr">
        <is>
          <t>BIN-ETH</t>
        </is>
      </c>
      <c r="G55" s="2" t="n">
        <v>1</v>
      </c>
    </row>
    <row r="56">
      <c r="A56" s="1" t="n">
        <v>46264</v>
      </c>
      <c r="B56" s="3">
        <f>DATE(YEAR(A56),MONTH(A56)+1,0)</f>
        <v/>
      </c>
      <c r="C56" s="1" t="inlineStr">
        <is>
          <t>Binance</t>
        </is>
      </c>
      <c r="D56" s="1" t="inlineStr">
        <is>
          <t>Cripto</t>
        </is>
      </c>
      <c r="E56" s="1" t="inlineStr">
        <is>
          <t>Solana</t>
        </is>
      </c>
      <c r="F56" t="inlineStr">
        <is>
          <t>BIN-SOL</t>
        </is>
      </c>
      <c r="G56" s="2" t="n">
        <v>1</v>
      </c>
    </row>
    <row r="57">
      <c r="A57" s="1" t="n">
        <v>46264</v>
      </c>
      <c r="B57" s="3">
        <f>DATE(YEAR(A57),MONTH(A57)+1,0)</f>
        <v/>
      </c>
      <c r="C57" s="1" t="inlineStr">
        <is>
          <t>Avenue</t>
        </is>
      </c>
      <c r="D57" s="1" t="inlineStr">
        <is>
          <t>Exterior</t>
        </is>
      </c>
      <c r="E57" s="1" t="inlineStr">
        <is>
          <t>Disney</t>
        </is>
      </c>
      <c r="F57" t="inlineStr">
        <is>
          <t>AVE-DIS</t>
        </is>
      </c>
      <c r="G57" s="2" t="n">
        <v>1</v>
      </c>
      <c r="K57" t="inlineStr">
        <is>
          <t>30% 300k</t>
        </is>
      </c>
    </row>
    <row r="58">
      <c r="A58" s="1" t="n">
        <v>46264</v>
      </c>
      <c r="B58" s="3">
        <f>DATE(YEAR(A58),MONTH(A58)+1,0)</f>
        <v/>
      </c>
      <c r="C58" s="1" t="inlineStr">
        <is>
          <t>Avenue</t>
        </is>
      </c>
      <c r="D58" s="1" t="inlineStr">
        <is>
          <t>Exterior</t>
        </is>
      </c>
      <c r="E58" s="1" t="inlineStr">
        <is>
          <t>Google</t>
        </is>
      </c>
      <c r="F58" t="inlineStr">
        <is>
          <t>AVE-GOOGL</t>
        </is>
      </c>
      <c r="G58" s="2" t="n">
        <v>1</v>
      </c>
      <c r="K58" t="inlineStr">
        <is>
          <t>40% 300k</t>
        </is>
      </c>
    </row>
    <row r="59">
      <c r="A59" s="1" t="n">
        <v>46264</v>
      </c>
      <c r="B59" s="3">
        <f>DATE(YEAR(A59),MONTH(A59)+1,0)</f>
        <v/>
      </c>
      <c r="C59" s="1" t="inlineStr">
        <is>
          <t>Avenue</t>
        </is>
      </c>
      <c r="D59" s="1" t="inlineStr">
        <is>
          <t>Exterior</t>
        </is>
      </c>
      <c r="E59" s="1" t="inlineStr">
        <is>
          <t>Microsoft</t>
        </is>
      </c>
      <c r="F59" t="inlineStr">
        <is>
          <t>AVE-MSFT</t>
        </is>
      </c>
      <c r="G59" s="2" t="n">
        <v>1</v>
      </c>
      <c r="K59" t="inlineStr">
        <is>
          <t>55% 300k</t>
        </is>
      </c>
    </row>
    <row r="60">
      <c r="A60" s="1" t="n">
        <v>46264</v>
      </c>
      <c r="B60" s="3">
        <f>DATE(YEAR(A60),MONTH(A60)+1,0)</f>
        <v/>
      </c>
      <c r="C60" s="1" t="inlineStr">
        <is>
          <t>Avenue</t>
        </is>
      </c>
      <c r="D60" s="1" t="inlineStr">
        <is>
          <t>Exterior</t>
        </is>
      </c>
      <c r="E60" s="1" t="inlineStr">
        <is>
          <t>Shopify</t>
        </is>
      </c>
      <c r="F60" t="inlineStr">
        <is>
          <t>AVE-SHOP</t>
        </is>
      </c>
      <c r="G60" s="2" t="n">
        <v>1</v>
      </c>
    </row>
    <row r="61">
      <c r="A61" s="1" t="n">
        <v>46264</v>
      </c>
      <c r="B61" s="3">
        <f>DATE(YEAR(A61),MONTH(A61)+1,0)</f>
        <v/>
      </c>
      <c r="C61" s="1" t="inlineStr">
        <is>
          <t>Avenue</t>
        </is>
      </c>
      <c r="D61" s="1" t="inlineStr">
        <is>
          <t>Exterior</t>
        </is>
      </c>
      <c r="E61" s="1" t="inlineStr">
        <is>
          <t>Blok</t>
        </is>
      </c>
      <c r="F61" t="inlineStr">
        <is>
          <t>AVE-BLOK</t>
        </is>
      </c>
      <c r="G61" s="2" t="n">
        <v>1</v>
      </c>
    </row>
    <row r="62">
      <c r="A62" s="1" t="n">
        <v>46264</v>
      </c>
      <c r="B62" s="3">
        <f>DATE(YEAR(A62),MONTH(A62)+1,0)</f>
        <v/>
      </c>
      <c r="C62" s="1" t="inlineStr">
        <is>
          <t>Avenue</t>
        </is>
      </c>
      <c r="D62" s="1" t="inlineStr">
        <is>
          <t>Exterior</t>
        </is>
      </c>
      <c r="E62" s="1" t="inlineStr">
        <is>
          <t>IWM</t>
        </is>
      </c>
      <c r="F62" t="inlineStr">
        <is>
          <t>AVE-IWM</t>
        </is>
      </c>
      <c r="G62" s="2" t="n">
        <v>1</v>
      </c>
      <c r="K62" t="inlineStr">
        <is>
          <t>42% 300k</t>
        </is>
      </c>
    </row>
    <row r="63">
      <c r="A63" s="1" t="n">
        <v>46264</v>
      </c>
      <c r="B63" s="3">
        <f>DATE(YEAR(A63),MONTH(A63)+1,0)</f>
        <v/>
      </c>
      <c r="C63" s="1" t="inlineStr">
        <is>
          <t>Avenue</t>
        </is>
      </c>
      <c r="D63" s="1" t="inlineStr">
        <is>
          <t>Exterior</t>
        </is>
      </c>
      <c r="E63" s="1" t="inlineStr">
        <is>
          <t>VOO</t>
        </is>
      </c>
      <c r="F63" t="inlineStr">
        <is>
          <t>AVE-VOO</t>
        </is>
      </c>
      <c r="G63" s="2" t="n">
        <v>1</v>
      </c>
      <c r="K63" t="inlineStr">
        <is>
          <t>300k</t>
        </is>
      </c>
    </row>
    <row r="64">
      <c r="A64" s="1" t="n">
        <v>46264</v>
      </c>
      <c r="B64" s="3">
        <f>DATE(YEAR(A64),MONTH(A64)+1,0)</f>
        <v/>
      </c>
      <c r="C64" s="1" t="inlineStr">
        <is>
          <t>Wise</t>
        </is>
      </c>
      <c r="D64" s="1" t="inlineStr">
        <is>
          <t>Caixa</t>
        </is>
      </c>
      <c r="E64" s="1" t="inlineStr">
        <is>
          <t>Dolar</t>
        </is>
      </c>
      <c r="F64" t="inlineStr">
        <is>
          <t>WISE-USD</t>
        </is>
      </c>
      <c r="G64" s="2" t="n">
        <v>1</v>
      </c>
    </row>
    <row r="65">
      <c r="A65" s="1" t="n">
        <v>46264</v>
      </c>
      <c r="B65" s="3">
        <f>DATE(YEAR(A65),MONTH(A65)+1,0)</f>
        <v/>
      </c>
      <c r="C65" s="1" t="inlineStr">
        <is>
          <t>Wise</t>
        </is>
      </c>
      <c r="D65" s="1" t="inlineStr">
        <is>
          <t>Caixa</t>
        </is>
      </c>
      <c r="E65" s="1" t="inlineStr">
        <is>
          <t xml:space="preserve">Libra </t>
        </is>
      </c>
      <c r="F65" t="inlineStr">
        <is>
          <t>WISE-GBP</t>
        </is>
      </c>
      <c r="G65" s="2" t="n">
        <v>1</v>
      </c>
    </row>
    <row r="66">
      <c r="A66" s="1" t="n">
        <v>46264</v>
      </c>
      <c r="B66" s="3">
        <f>DATE(YEAR(A66),MONTH(A66)+1,0)</f>
        <v/>
      </c>
      <c r="C66" t="inlineStr">
        <is>
          <t>C6</t>
        </is>
      </c>
      <c r="D66" t="inlineStr">
        <is>
          <t>Renda Fixa</t>
        </is>
      </c>
      <c r="E66" t="inlineStr">
        <is>
          <t>CDB C6 Pós-Fixado Liq. Diária</t>
        </is>
      </c>
      <c r="F66" t="inlineStr">
        <is>
          <t>C6-CDB</t>
        </is>
      </c>
      <c r="G66" s="2" t="n">
        <v>1</v>
      </c>
    </row>
    <row r="67">
      <c r="A67" s="1" t="n">
        <v>46264</v>
      </c>
      <c r="B67" s="3">
        <f>DATE(YEAR(A67),MONTH(A67)+1,0)</f>
        <v/>
      </c>
      <c r="C67" t="inlineStr">
        <is>
          <t>C6</t>
        </is>
      </c>
      <c r="D67" t="inlineStr">
        <is>
          <t>Renda Fixa</t>
        </is>
      </c>
      <c r="E67" t="inlineStr">
        <is>
          <t xml:space="preserve">CDI C6 </t>
        </is>
      </c>
      <c r="F67" t="inlineStr">
        <is>
          <t>C6-CDI</t>
        </is>
      </c>
      <c r="G67" s="2" t="n">
        <v>1</v>
      </c>
    </row>
    <row r="68">
      <c r="A68" s="1" t="n">
        <v>46264</v>
      </c>
      <c r="B68" s="3">
        <f>DATE(YEAR(A68),MONTH(A68)+1,0)</f>
        <v/>
      </c>
      <c r="C68" t="inlineStr">
        <is>
          <t>XP</t>
        </is>
      </c>
      <c r="D68" t="inlineStr">
        <is>
          <t>Renda Fixa</t>
        </is>
      </c>
      <c r="E68" t="inlineStr">
        <is>
          <t>Banco VolksWagen - Ago 2027 102%CDI</t>
        </is>
      </c>
      <c r="F68" t="inlineStr">
        <is>
          <t>XP-CDBVW</t>
        </is>
      </c>
      <c r="G68" s="2" t="n">
        <v>1</v>
      </c>
    </row>
    <row r="69">
      <c r="A69" s="1" t="n">
        <v>46264</v>
      </c>
      <c r="B69" s="3">
        <f>DATE(YEAR(A69),MONTH(A69)+1,0)</f>
        <v/>
      </c>
      <c r="C69" t="inlineStr">
        <is>
          <t>XP</t>
        </is>
      </c>
      <c r="D69" t="inlineStr">
        <is>
          <t>Renda Fixa</t>
        </is>
      </c>
      <c r="E69" t="inlineStr">
        <is>
          <t>CDB CloudWalk Infinitepay 104%CDI</t>
        </is>
      </c>
      <c r="F69" t="inlineStr">
        <is>
          <t>XP-CDBCW</t>
        </is>
      </c>
      <c r="G69" s="2" t="n">
        <v>1</v>
      </c>
    </row>
    <row r="70">
      <c r="A70" s="1" t="n"/>
      <c r="B70" s="3" t="n"/>
    </row>
  </sheetData>
  <autoFilter ref="A1:L7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2026-07-22T13:41:20Z</dcterms:created>
  <dcterms:modified xsi:type="dcterms:W3CDTF">2026-09-05T00:35:39Z</dcterms:modified>
  <cp:lastModifiedBy>Rodrigo Bianchini</cp:lastModifiedBy>
</cp:coreProperties>
</file>